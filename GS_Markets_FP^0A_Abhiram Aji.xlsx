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91886e0f4a3aff/Documents/"/>
    </mc:Choice>
  </mc:AlternateContent>
  <xr:revisionPtr revIDLastSave="1979" documentId="8_{B2F28509-6408-406D-873C-D43007A79C02}" xr6:coauthVersionLast="47" xr6:coauthVersionMax="47" xr10:uidLastSave="{4EE509E2-0991-43C6-B248-467FC5E7F767}"/>
  <bookViews>
    <workbookView xWindow="-110" yWindow="-110" windowWidth="19420" windowHeight="11500" tabRatio="821" xr2:uid="{5A6E5C2D-3C49-41ED-B4CC-AF3778BB79E9}"/>
  </bookViews>
  <sheets>
    <sheet name="Raw Data" sheetId="1" r:id="rId1"/>
    <sheet name="P&amp;L Model" sheetId="4" r:id="rId2"/>
    <sheet name="Variance Analysis" sheetId="5" r:id="rId3"/>
    <sheet name="Assumptions Page 1" sheetId="10" r:id="rId4"/>
    <sheet name="Assumptions Page 2" sheetId="6" r:id="rId5"/>
    <sheet name="Revenue Build" sheetId="7" r:id="rId6"/>
    <sheet name="Expense Build" sheetId="8" r:id="rId7"/>
    <sheet name="Scenario Output " sheetId="9" r:id="rId8"/>
    <sheet name="PBI Data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" l="1"/>
  <c r="J6" i="11"/>
  <c r="J7" i="11"/>
  <c r="J11" i="11"/>
  <c r="J12" i="11"/>
  <c r="J13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D8" i="9"/>
  <c r="E8" i="9"/>
  <c r="D9" i="9"/>
  <c r="E9" i="9"/>
  <c r="C9" i="9"/>
  <c r="C8" i="9"/>
  <c r="E21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I7" i="1"/>
  <c r="C6" i="5"/>
  <c r="C5" i="5"/>
  <c r="B6" i="5"/>
  <c r="B5" i="5"/>
  <c r="D5" i="5" s="1"/>
  <c r="C10" i="5"/>
  <c r="C9" i="5"/>
  <c r="E9" i="5" s="1"/>
  <c r="C8" i="5"/>
  <c r="B10" i="5"/>
  <c r="B9" i="5"/>
  <c r="B8" i="5"/>
  <c r="E8" i="5" s="1"/>
  <c r="D8" i="5"/>
  <c r="D10" i="5"/>
  <c r="E10" i="5"/>
  <c r="C17" i="4"/>
  <c r="D17" i="4"/>
  <c r="E17" i="4"/>
  <c r="F17" i="4"/>
  <c r="G17" i="4"/>
  <c r="H17" i="4"/>
  <c r="I17" i="4"/>
  <c r="J17" i="4"/>
  <c r="K17" i="4"/>
  <c r="L17" i="4"/>
  <c r="M17" i="4"/>
  <c r="B17" i="4"/>
  <c r="C6" i="4"/>
  <c r="D6" i="4"/>
  <c r="E6" i="4"/>
  <c r="F6" i="4"/>
  <c r="G6" i="4"/>
  <c r="H6" i="4"/>
  <c r="I6" i="4"/>
  <c r="J6" i="4"/>
  <c r="K6" i="4"/>
  <c r="L6" i="4"/>
  <c r="M6" i="4"/>
  <c r="B6" i="4"/>
  <c r="C10" i="4"/>
  <c r="D10" i="4"/>
  <c r="E10" i="4"/>
  <c r="E12" i="4" s="1"/>
  <c r="F10" i="4"/>
  <c r="F12" i="4" s="1"/>
  <c r="G10" i="4"/>
  <c r="G12" i="4" s="1"/>
  <c r="H10" i="4"/>
  <c r="H12" i="4" s="1"/>
  <c r="I10" i="4"/>
  <c r="I12" i="4" s="1"/>
  <c r="C11" i="4"/>
  <c r="D11" i="4"/>
  <c r="E11" i="4"/>
  <c r="F11" i="4"/>
  <c r="G11" i="4"/>
  <c r="D22" i="10" s="1"/>
  <c r="H11" i="4"/>
  <c r="I11" i="4"/>
  <c r="C12" i="4"/>
  <c r="D12" i="4"/>
  <c r="B12" i="4"/>
  <c r="B11" i="4"/>
  <c r="B10" i="4"/>
  <c r="K8" i="1"/>
  <c r="K9" i="1" s="1"/>
  <c r="K11" i="4" s="1"/>
  <c r="H22" i="10" s="1"/>
  <c r="L8" i="1"/>
  <c r="L10" i="4" s="1"/>
  <c r="M8" i="1"/>
  <c r="M9" i="1" s="1"/>
  <c r="M11" i="4" s="1"/>
  <c r="J8" i="1"/>
  <c r="J10" i="4" s="1"/>
  <c r="G8" i="1"/>
  <c r="H8" i="1"/>
  <c r="I8" i="1"/>
  <c r="F8" i="1"/>
  <c r="F9" i="1" s="1"/>
  <c r="C8" i="1"/>
  <c r="C14" i="5" s="1"/>
  <c r="D8" i="1"/>
  <c r="E8" i="1"/>
  <c r="E9" i="1" s="1"/>
  <c r="B8" i="1"/>
  <c r="K7" i="1"/>
  <c r="C7" i="1"/>
  <c r="D7" i="1"/>
  <c r="E7" i="1"/>
  <c r="F7" i="1"/>
  <c r="F18" i="4" s="1"/>
  <c r="G7" i="1"/>
  <c r="G18" i="4" s="1"/>
  <c r="H7" i="1"/>
  <c r="H18" i="4" s="1"/>
  <c r="I18" i="4"/>
  <c r="J7" i="1"/>
  <c r="J18" i="4" s="1"/>
  <c r="L7" i="1"/>
  <c r="M7" i="1"/>
  <c r="B7" i="1"/>
  <c r="C21" i="10"/>
  <c r="D21" i="10"/>
  <c r="E21" i="10"/>
  <c r="F21" i="10"/>
  <c r="G21" i="10"/>
  <c r="H21" i="10"/>
  <c r="I21" i="10"/>
  <c r="J21" i="10"/>
  <c r="I8" i="6"/>
  <c r="D11" i="8" s="1"/>
  <c r="J8" i="6"/>
  <c r="J9" i="6"/>
  <c r="E5" i="8" s="1"/>
  <c r="D13" i="7"/>
  <c r="D14" i="7" s="1"/>
  <c r="D21" i="7" s="1"/>
  <c r="E13" i="7"/>
  <c r="E14" i="7" s="1"/>
  <c r="E21" i="7" s="1"/>
  <c r="I9" i="6"/>
  <c r="D5" i="8" s="1"/>
  <c r="I6" i="6"/>
  <c r="J6" i="6"/>
  <c r="I7" i="6"/>
  <c r="J7" i="6"/>
  <c r="I5" i="6"/>
  <c r="D6" i="7" s="1"/>
  <c r="J5" i="6"/>
  <c r="E6" i="7" s="1"/>
  <c r="O5" i="10"/>
  <c r="E6" i="6" s="1"/>
  <c r="E17" i="9" s="1"/>
  <c r="O6" i="10"/>
  <c r="E7" i="6" s="1"/>
  <c r="O7" i="10"/>
  <c r="E8" i="6" s="1"/>
  <c r="O8" i="10"/>
  <c r="E9" i="6" s="1"/>
  <c r="N5" i="10"/>
  <c r="D6" i="6" s="1"/>
  <c r="D17" i="9" s="1"/>
  <c r="N6" i="10"/>
  <c r="D7" i="6" s="1"/>
  <c r="N7" i="10"/>
  <c r="D8" i="6" s="1"/>
  <c r="N8" i="10"/>
  <c r="D9" i="6" s="1"/>
  <c r="M5" i="10"/>
  <c r="C6" i="6" s="1"/>
  <c r="C17" i="9" s="1"/>
  <c r="M6" i="10"/>
  <c r="C7" i="6" s="1"/>
  <c r="M7" i="10"/>
  <c r="C8" i="6" s="1"/>
  <c r="M8" i="10"/>
  <c r="C9" i="6" s="1"/>
  <c r="O4" i="10"/>
  <c r="E5" i="6" s="1"/>
  <c r="E16" i="9" s="1"/>
  <c r="N4" i="10"/>
  <c r="D5" i="6" s="1"/>
  <c r="D16" i="9" s="1"/>
  <c r="M4" i="10"/>
  <c r="C5" i="6" s="1"/>
  <c r="C16" i="9" s="1"/>
  <c r="D15" i="10"/>
  <c r="E15" i="10"/>
  <c r="F15" i="10"/>
  <c r="G15" i="10"/>
  <c r="H15" i="10"/>
  <c r="I15" i="10"/>
  <c r="J15" i="10"/>
  <c r="C15" i="10"/>
  <c r="D14" i="10"/>
  <c r="E14" i="10"/>
  <c r="F14" i="10"/>
  <c r="G14" i="10"/>
  <c r="H14" i="10"/>
  <c r="I14" i="10"/>
  <c r="J14" i="10"/>
  <c r="C14" i="10"/>
  <c r="C7" i="5"/>
  <c r="C5" i="4"/>
  <c r="D5" i="4"/>
  <c r="E5" i="4"/>
  <c r="F5" i="4"/>
  <c r="G5" i="4"/>
  <c r="H5" i="4"/>
  <c r="I5" i="4"/>
  <c r="J5" i="4"/>
  <c r="K5" i="4"/>
  <c r="L5" i="4"/>
  <c r="M5" i="4"/>
  <c r="B5" i="4"/>
  <c r="C4" i="4"/>
  <c r="D4" i="4"/>
  <c r="E4" i="4"/>
  <c r="F4" i="4"/>
  <c r="G4" i="4"/>
  <c r="H4" i="4"/>
  <c r="I4" i="4"/>
  <c r="J4" i="4"/>
  <c r="K4" i="4"/>
  <c r="L4" i="4"/>
  <c r="M4" i="4"/>
  <c r="B4" i="4"/>
  <c r="E11" i="5"/>
  <c r="E12" i="5"/>
  <c r="E13" i="5"/>
  <c r="D11" i="5"/>
  <c r="D12" i="5"/>
  <c r="D13" i="5"/>
  <c r="C20" i="10"/>
  <c r="D20" i="10"/>
  <c r="E20" i="10"/>
  <c r="F20" i="10"/>
  <c r="B14" i="5"/>
  <c r="B29" i="4"/>
  <c r="D25" i="4"/>
  <c r="D29" i="4" s="1"/>
  <c r="C25" i="4"/>
  <c r="C29" i="4" s="1"/>
  <c r="B25" i="4"/>
  <c r="D28" i="4"/>
  <c r="C28" i="4"/>
  <c r="B28" i="4"/>
  <c r="D27" i="4"/>
  <c r="C27" i="4"/>
  <c r="B27" i="4"/>
  <c r="B26" i="4"/>
  <c r="B16" i="4"/>
  <c r="C16" i="4"/>
  <c r="D16" i="4"/>
  <c r="E16" i="4"/>
  <c r="F16" i="4"/>
  <c r="G16" i="4"/>
  <c r="H16" i="4"/>
  <c r="I16" i="4"/>
  <c r="J16" i="4"/>
  <c r="K16" i="4"/>
  <c r="L16" i="4"/>
  <c r="M16" i="4"/>
  <c r="B18" i="4"/>
  <c r="C18" i="4"/>
  <c r="D18" i="4"/>
  <c r="E18" i="4"/>
  <c r="K18" i="4"/>
  <c r="L18" i="4"/>
  <c r="M18" i="4"/>
  <c r="C19" i="4"/>
  <c r="D19" i="4"/>
  <c r="E19" i="4"/>
  <c r="F19" i="4"/>
  <c r="G19" i="4"/>
  <c r="H19" i="4"/>
  <c r="I19" i="4"/>
  <c r="J19" i="4"/>
  <c r="K19" i="4"/>
  <c r="L19" i="4"/>
  <c r="M19" i="4"/>
  <c r="C20" i="4"/>
  <c r="D20" i="4"/>
  <c r="E20" i="4"/>
  <c r="F20" i="4"/>
  <c r="G20" i="4"/>
  <c r="H20" i="4"/>
  <c r="I20" i="4"/>
  <c r="J20" i="4"/>
  <c r="K20" i="4"/>
  <c r="L20" i="4"/>
  <c r="M20" i="4"/>
  <c r="B20" i="4"/>
  <c r="B19" i="4"/>
  <c r="C12" i="1"/>
  <c r="D12" i="1"/>
  <c r="E12" i="1"/>
  <c r="F12" i="1"/>
  <c r="G12" i="1"/>
  <c r="H12" i="1"/>
  <c r="I12" i="1"/>
  <c r="J12" i="1"/>
  <c r="K12" i="1"/>
  <c r="L12" i="1"/>
  <c r="M12" i="1"/>
  <c r="B12" i="1"/>
  <c r="B9" i="1"/>
  <c r="F22" i="10"/>
  <c r="E22" i="10"/>
  <c r="C22" i="10"/>
  <c r="G9" i="1"/>
  <c r="C9" i="1"/>
  <c r="D9" i="1"/>
  <c r="H9" i="1"/>
  <c r="I9" i="1"/>
  <c r="L9" i="1"/>
  <c r="L11" i="4" s="1"/>
  <c r="I22" i="10" s="1"/>
  <c r="C6" i="1"/>
  <c r="D6" i="1"/>
  <c r="E6" i="1"/>
  <c r="F6" i="1"/>
  <c r="G6" i="1"/>
  <c r="H6" i="1"/>
  <c r="I6" i="1"/>
  <c r="J6" i="1"/>
  <c r="K6" i="1"/>
  <c r="L6" i="1"/>
  <c r="M6" i="1"/>
  <c r="C4" i="1"/>
  <c r="D4" i="1"/>
  <c r="E4" i="1"/>
  <c r="F4" i="1"/>
  <c r="G4" i="1"/>
  <c r="H4" i="1"/>
  <c r="I4" i="1"/>
  <c r="J4" i="1"/>
  <c r="K4" i="1"/>
  <c r="L4" i="1"/>
  <c r="M4" i="1"/>
  <c r="B6" i="1"/>
  <c r="B4" i="1"/>
  <c r="XFD13" i="4"/>
  <c r="D6" i="5" l="1"/>
  <c r="D9" i="5"/>
  <c r="C15" i="5"/>
  <c r="E5" i="5"/>
  <c r="M12" i="4"/>
  <c r="J22" i="10"/>
  <c r="J19" i="10" s="1"/>
  <c r="M10" i="4"/>
  <c r="J20" i="10" s="1"/>
  <c r="L12" i="4"/>
  <c r="I20" i="10"/>
  <c r="K10" i="4"/>
  <c r="J12" i="4"/>
  <c r="J9" i="1"/>
  <c r="J11" i="4" s="1"/>
  <c r="G22" i="10" s="1"/>
  <c r="G20" i="10"/>
  <c r="B7" i="5"/>
  <c r="E7" i="5"/>
  <c r="I19" i="10"/>
  <c r="H19" i="10"/>
  <c r="G19" i="10"/>
  <c r="H18" i="10"/>
  <c r="E14" i="5"/>
  <c r="D26" i="4"/>
  <c r="C26" i="4"/>
  <c r="I18" i="10"/>
  <c r="G18" i="10"/>
  <c r="J18" i="10"/>
  <c r="M18" i="10"/>
  <c r="E11" i="8"/>
  <c r="E12" i="8" s="1"/>
  <c r="E18" i="8" s="1"/>
  <c r="D12" i="8"/>
  <c r="D18" i="8" s="1"/>
  <c r="E5" i="9"/>
  <c r="E82" i="11" s="1"/>
  <c r="D5" i="9"/>
  <c r="E81" i="11" s="1"/>
  <c r="G17" i="10"/>
  <c r="I16" i="10"/>
  <c r="J17" i="10"/>
  <c r="I17" i="10"/>
  <c r="H17" i="10"/>
  <c r="H16" i="10"/>
  <c r="G16" i="10"/>
  <c r="J16" i="10"/>
  <c r="D7" i="7"/>
  <c r="E7" i="7"/>
  <c r="D14" i="5"/>
  <c r="E6" i="5"/>
  <c r="K12" i="4" l="1"/>
  <c r="H20" i="10"/>
  <c r="M20" i="10" s="1"/>
  <c r="H9" i="6" s="1"/>
  <c r="C5" i="8" s="1"/>
  <c r="D7" i="5"/>
  <c r="B15" i="5"/>
  <c r="M19" i="10"/>
  <c r="H8" i="6" s="1"/>
  <c r="E20" i="7"/>
  <c r="E22" i="7" s="1"/>
  <c r="E4" i="9"/>
  <c r="E79" i="11" s="1"/>
  <c r="D20" i="7"/>
  <c r="D22" i="7" s="1"/>
  <c r="D4" i="9"/>
  <c r="E78" i="11" s="1"/>
  <c r="M17" i="10"/>
  <c r="C13" i="7" s="1"/>
  <c r="C14" i="7" s="1"/>
  <c r="H7" i="6"/>
  <c r="M16" i="10"/>
  <c r="H5" i="6" s="1"/>
  <c r="C6" i="7" s="1"/>
  <c r="C7" i="7" s="1"/>
  <c r="D15" i="5" l="1"/>
  <c r="E15" i="5"/>
  <c r="C11" i="8"/>
  <c r="C12" i="8" s="1"/>
  <c r="C18" i="8" s="1"/>
  <c r="D4" i="8"/>
  <c r="D6" i="8" s="1"/>
  <c r="D17" i="8" s="1"/>
  <c r="D19" i="8" s="1"/>
  <c r="D10" i="9" s="1"/>
  <c r="D16" i="8"/>
  <c r="D6" i="9"/>
  <c r="E4" i="8"/>
  <c r="E6" i="8" s="1"/>
  <c r="E17" i="8" s="1"/>
  <c r="E19" i="8" s="1"/>
  <c r="E10" i="9" s="1"/>
  <c r="E16" i="8"/>
  <c r="E6" i="9"/>
  <c r="H6" i="6"/>
  <c r="C20" i="7"/>
  <c r="C4" i="9"/>
  <c r="E77" i="11" s="1"/>
  <c r="C21" i="7"/>
  <c r="C5" i="9"/>
  <c r="E80" i="11" s="1"/>
  <c r="C22" i="7" l="1"/>
  <c r="D20" i="8"/>
  <c r="D21" i="8" s="1"/>
  <c r="D12" i="9"/>
  <c r="D13" i="9" s="1"/>
  <c r="E12" i="9"/>
  <c r="E13" i="9" s="1"/>
  <c r="E20" i="8"/>
  <c r="E21" i="8" s="1"/>
  <c r="C6" i="9" l="1"/>
  <c r="C16" i="8"/>
  <c r="C4" i="8"/>
  <c r="C6" i="8" s="1"/>
  <c r="C17" i="8" s="1"/>
  <c r="C19" i="8" l="1"/>
  <c r="C20" i="8" s="1"/>
  <c r="C21" i="8" s="1"/>
  <c r="C10" i="9" l="1"/>
  <c r="C12" i="9" s="1"/>
  <c r="C13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3520D-F6E1-4455-A7CA-D92602F32C55}" keepAlive="1" name="Query - Table001 (Page 3)" description="Connection to the 'Table001 (Page 3)' query in the workbook." type="5" refreshedVersion="0" background="1" saveData="1">
    <dbPr connection="Provider=Microsoft.Mashup.OleDb.1;Data Source=$Workbook$;Location=&quot;Table001 (Page 3)&quot;;Extended Properties=&quot;&quot;" command="SELECT * FROM [Table001 (Page 3)]"/>
  </connection>
</connections>
</file>

<file path=xl/sharedStrings.xml><?xml version="1.0" encoding="utf-8"?>
<sst xmlns="http://schemas.openxmlformats.org/spreadsheetml/2006/main" count="567" uniqueCount="142">
  <si>
    <t>Metric</t>
  </si>
  <si>
    <t>Q1-2022</t>
  </si>
  <si>
    <t>Q2-2022</t>
  </si>
  <si>
    <t>Q1-2023</t>
  </si>
  <si>
    <t>Q3-2022</t>
  </si>
  <si>
    <t>Q4-2022</t>
  </si>
  <si>
    <t>Q2-2023</t>
  </si>
  <si>
    <t>Q3-2023</t>
  </si>
  <si>
    <t>Q4-2023</t>
  </si>
  <si>
    <t>Q1-2024</t>
  </si>
  <si>
    <t>Q2-2024</t>
  </si>
  <si>
    <t>Q3-2024</t>
  </si>
  <si>
    <t>Q4-2024</t>
  </si>
  <si>
    <t>FICC Net Revenue ($M)</t>
  </si>
  <si>
    <t>Equities Net Revenue ($M)</t>
  </si>
  <si>
    <t>Pre-Tax Margin %</t>
  </si>
  <si>
    <t>Firm Headcount</t>
  </si>
  <si>
    <t>GOLDMAN SACHS — GLOBAL MARKETS P&amp;L MODEL</t>
  </si>
  <si>
    <t>OPERATING EXPENSES</t>
  </si>
  <si>
    <t>KEY METRICS</t>
  </si>
  <si>
    <t>FICC</t>
  </si>
  <si>
    <t>Equities</t>
  </si>
  <si>
    <t>Compensation</t>
  </si>
  <si>
    <t>Non-Compensation</t>
  </si>
  <si>
    <t>Comp Ratio</t>
  </si>
  <si>
    <t>Revenue per Head</t>
  </si>
  <si>
    <t>FICC % of Revenue</t>
  </si>
  <si>
    <t>Equities % of Revenue</t>
  </si>
  <si>
    <t>Net Revenue($M)</t>
  </si>
  <si>
    <t>FICC($M)</t>
  </si>
  <si>
    <t>Equities ($M)</t>
  </si>
  <si>
    <t>Total Markets Revenue($M)</t>
  </si>
  <si>
    <t>Comp &amp; Benefits($M)</t>
  </si>
  <si>
    <t>Non-Comp Expenses($M)</t>
  </si>
  <si>
    <t>Pre-Tax Earnings($M)</t>
  </si>
  <si>
    <t>Total Operating Expense($M)</t>
  </si>
  <si>
    <t>Total Markets Revenue</t>
  </si>
  <si>
    <t>Total Operating Expense</t>
  </si>
  <si>
    <t>FULL YEAR SUMMARY</t>
  </si>
  <si>
    <t>Total OpEx</t>
  </si>
  <si>
    <t>Pre-Tax Earnings</t>
  </si>
  <si>
    <t>Pre-Tax Margin</t>
  </si>
  <si>
    <t>FY2022</t>
  </si>
  <si>
    <t>FY2023</t>
  </si>
  <si>
    <t>FY2024</t>
  </si>
  <si>
    <t>Market Revenue</t>
  </si>
  <si>
    <t>Net Revenue</t>
  </si>
  <si>
    <t>Revenue Variance Table</t>
  </si>
  <si>
    <t>variance($)</t>
  </si>
  <si>
    <t>variance(%)</t>
  </si>
  <si>
    <t>Total Market Revenue</t>
  </si>
  <si>
    <t>Operating Expense</t>
  </si>
  <si>
    <t>comp</t>
  </si>
  <si>
    <t>non-comp</t>
  </si>
  <si>
    <t>Pre-Tax Income</t>
  </si>
  <si>
    <t>Headcount</t>
  </si>
  <si>
    <t>Revenue /Head</t>
  </si>
  <si>
    <t>Comp ratio</t>
  </si>
  <si>
    <t>Metrics</t>
  </si>
  <si>
    <t>FINDINGS</t>
  </si>
  <si>
    <t>MACRO ASSUMPTIONS</t>
  </si>
  <si>
    <t>Base</t>
  </si>
  <si>
    <t>Bull</t>
  </si>
  <si>
    <t>Bear</t>
  </si>
  <si>
    <t>Fed Funds Rate</t>
  </si>
  <si>
    <t>10Y Treasury Yield</t>
  </si>
  <si>
    <t>BUSINESS ASSUMPTIONS</t>
  </si>
  <si>
    <t>FICC Revenue Growth (YoY)</t>
  </si>
  <si>
    <t>Equities Revenue Growth (YoY)</t>
  </si>
  <si>
    <t>Headcount Change</t>
  </si>
  <si>
    <t>Non-Comp Expense Growth</t>
  </si>
  <si>
    <t>FICC REVENUE BUILD</t>
  </si>
  <si>
    <t>FICC Revenue Build</t>
  </si>
  <si>
    <t>Prior Year FICC Revenue</t>
  </si>
  <si>
    <t>× YoY Growth Rate (from Assump)</t>
  </si>
  <si>
    <t>Forecast FICC Revenue</t>
  </si>
  <si>
    <t>EQUITIES REVENUE BUILD</t>
  </si>
  <si>
    <t>Equities Revenue Build</t>
  </si>
  <si>
    <t>Prior Year Equities Revenue</t>
  </si>
  <si>
    <t>Forecast Equities Revenue</t>
  </si>
  <si>
    <t>TOTAL REVENUE SUMMARY</t>
  </si>
  <si>
    <t>FICC Revenue</t>
  </si>
  <si>
    <t>Equities Revenue</t>
  </si>
  <si>
    <t>COMPENSATION</t>
  </si>
  <si>
    <t>× Comp Ratio (from Assumptions)</t>
  </si>
  <si>
    <t>Compensation Expense</t>
  </si>
  <si>
    <t>NON - COMPENSATION</t>
  </si>
  <si>
    <t>Prior Year Non-Comp Expense</t>
  </si>
  <si>
    <t>× Growth Rate (from Assumptions)</t>
  </si>
  <si>
    <t>Mon-Compensation Expense</t>
  </si>
  <si>
    <t>TOTAL EXPENSE AND MARGIN SUMMARY</t>
  </si>
  <si>
    <t>Total Revenue</t>
  </si>
  <si>
    <t>Total Compensation</t>
  </si>
  <si>
    <t>Total Non-Compensation</t>
  </si>
  <si>
    <t>Total Operating Expenses</t>
  </si>
  <si>
    <t>Pre Tax Income</t>
  </si>
  <si>
    <t>Pre Tax Margin</t>
  </si>
  <si>
    <t>Key Macro Assumption:</t>
  </si>
  <si>
    <t>FY 2025 Forecast Summary</t>
  </si>
  <si>
    <t xml:space="preserve">VIX                        </t>
  </si>
  <si>
    <t>S&amp;P Return</t>
  </si>
  <si>
    <t>VIX Quarterly Avg</t>
  </si>
  <si>
    <t xml:space="preserve">S&amp;P 500 Return </t>
  </si>
  <si>
    <t xml:space="preserve">Credit Spreads(bps)   </t>
  </si>
  <si>
    <t>HISTORICAL MACRO DATA</t>
  </si>
  <si>
    <t>HISTORICAL BUSINESS METRICS</t>
  </si>
  <si>
    <t>FICC Revenue($M)</t>
  </si>
  <si>
    <t>Equities Rev($M)</t>
  </si>
  <si>
    <t>FICC YoY Growth</t>
  </si>
  <si>
    <t>Equities YoY Growth</t>
  </si>
  <si>
    <t>Non-Comp Growth YoY</t>
  </si>
  <si>
    <t>8-Quarter Average</t>
  </si>
  <si>
    <t>8-Quarter High</t>
  </si>
  <si>
    <t>8-Quarter Low</t>
  </si>
  <si>
    <t>Headcount change</t>
  </si>
  <si>
    <t xml:space="preserve">Non-Comp </t>
  </si>
  <si>
    <t>comp ratio</t>
  </si>
  <si>
    <t>Global Markets revenues rose $680M (+9% YoY) in Q1 2024, driven by stronger FICC performance on elevated rates volatility and increased client hedging activity, with Equities contributing $290M and FICC contributing $390M of incremental revenue.</t>
  </si>
  <si>
    <t>Markets Revenue</t>
  </si>
  <si>
    <t xml:space="preserve">Total OpEx </t>
  </si>
  <si>
    <t>Q1</t>
  </si>
  <si>
    <t>Q2</t>
  </si>
  <si>
    <t>Q3</t>
  </si>
  <si>
    <t>Q4</t>
  </si>
  <si>
    <t>Comp Exp</t>
  </si>
  <si>
    <t>Non-Comp Exp</t>
  </si>
  <si>
    <t>Scenario</t>
  </si>
  <si>
    <t>Period</t>
  </si>
  <si>
    <t>Year</t>
  </si>
  <si>
    <t>Value</t>
  </si>
  <si>
    <t>FY</t>
  </si>
  <si>
    <t>Actual</t>
  </si>
  <si>
    <t xml:space="preserve">FY </t>
  </si>
  <si>
    <t>metric</t>
  </si>
  <si>
    <t>value</t>
  </si>
  <si>
    <t>scenario</t>
  </si>
  <si>
    <t>FY 2023</t>
  </si>
  <si>
    <t>FY 2024</t>
  </si>
  <si>
    <t>FY 2025F</t>
  </si>
  <si>
    <t>period</t>
  </si>
  <si>
    <t>FY 2022</t>
  </si>
  <si>
    <t>FY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</si>
</sst>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2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1" applyFont="1"/>
    <xf numFmtId="0" fontId="0" fillId="0" borderId="0" xfId="0" applyAlignment="1">
      <alignment horizontal="center"/>
    </xf>
    <xf numFmtId="3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0" fontId="0" fillId="0" borderId="0" xfId="0" applyAlignment="1">
      <alignment wrapText="1" readingOrder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9" fontId="0" fillId="0" borderId="10" xfId="1" applyFont="1" applyBorder="1"/>
    <xf numFmtId="9" fontId="0" fillId="0" borderId="0" xfId="0" applyNumberFormat="1"/>
    <xf numFmtId="44" fontId="0" fillId="0" borderId="0" xfId="2" applyFont="1" applyBorder="1"/>
    <xf numFmtId="0" fontId="1" fillId="0" borderId="11" xfId="0" applyFont="1" applyBorder="1"/>
    <xf numFmtId="9" fontId="0" fillId="0" borderId="12" xfId="1" applyFont="1" applyBorder="1"/>
    <xf numFmtId="3" fontId="0" fillId="0" borderId="12" xfId="0" applyNumberFormat="1" applyBorder="1"/>
    <xf numFmtId="9" fontId="0" fillId="0" borderId="13" xfId="1" applyFont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1" fillId="0" borderId="2" xfId="0" applyFont="1" applyBorder="1"/>
    <xf numFmtId="10" fontId="0" fillId="0" borderId="0" xfId="0" applyNumberFormat="1"/>
    <xf numFmtId="1" fontId="0" fillId="0" borderId="0" xfId="0" applyNumberFormat="1"/>
    <xf numFmtId="9" fontId="0" fillId="0" borderId="0" xfId="1" applyFont="1" applyBorder="1"/>
    <xf numFmtId="10" fontId="0" fillId="0" borderId="0" xfId="1" applyNumberFormat="1" applyFont="1" applyBorder="1"/>
    <xf numFmtId="3" fontId="0" fillId="0" borderId="7" xfId="0" applyNumberFormat="1" applyBorder="1"/>
    <xf numFmtId="9" fontId="0" fillId="0" borderId="12" xfId="0" applyNumberFormat="1" applyBorder="1"/>
    <xf numFmtId="164" fontId="0" fillId="0" borderId="4" xfId="0" applyNumberFormat="1" applyBorder="1"/>
    <xf numFmtId="164" fontId="0" fillId="0" borderId="7" xfId="0" applyNumberFormat="1" applyBorder="1"/>
    <xf numFmtId="10" fontId="0" fillId="0" borderId="12" xfId="0" applyNumberFormat="1" applyBorder="1"/>
    <xf numFmtId="10" fontId="0" fillId="0" borderId="13" xfId="0" applyNumberFormat="1" applyBorder="1"/>
    <xf numFmtId="9" fontId="0" fillId="0" borderId="10" xfId="0" applyNumberFormat="1" applyBorder="1"/>
    <xf numFmtId="0" fontId="0" fillId="0" borderId="8" xfId="0" applyBorder="1"/>
    <xf numFmtId="164" fontId="0" fillId="0" borderId="8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9" fontId="0" fillId="0" borderId="14" xfId="0" applyNumberFormat="1" applyBorder="1"/>
    <xf numFmtId="9" fontId="0" fillId="0" borderId="15" xfId="0" applyNumberFormat="1" applyBorder="1"/>
    <xf numFmtId="9" fontId="0" fillId="0" borderId="16" xfId="0" applyNumberFormat="1" applyBorder="1"/>
    <xf numFmtId="10" fontId="0" fillId="0" borderId="9" xfId="1" applyNumberFormat="1" applyFont="1" applyBorder="1"/>
    <xf numFmtId="10" fontId="0" fillId="0" borderId="10" xfId="1" applyNumberFormat="1" applyFont="1" applyBorder="1"/>
    <xf numFmtId="9" fontId="0" fillId="0" borderId="13" xfId="0" applyNumberFormat="1" applyBorder="1"/>
    <xf numFmtId="0" fontId="1" fillId="0" borderId="17" xfId="0" applyFont="1" applyBorder="1"/>
    <xf numFmtId="0" fontId="1" fillId="0" borderId="18" xfId="0" applyFont="1" applyBorder="1"/>
    <xf numFmtId="3" fontId="0" fillId="0" borderId="10" xfId="0" applyNumberFormat="1" applyBorder="1"/>
    <xf numFmtId="3" fontId="0" fillId="0" borderId="13" xfId="0" applyNumberFormat="1" applyBorder="1"/>
    <xf numFmtId="10" fontId="0" fillId="0" borderId="10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4" fontId="0" fillId="0" borderId="10" xfId="2" applyFont="1" applyBorder="1"/>
    <xf numFmtId="0" fontId="1" fillId="0" borderId="19" xfId="0" applyFont="1" applyBorder="1"/>
    <xf numFmtId="3" fontId="0" fillId="0" borderId="20" xfId="0" applyNumberFormat="1" applyBorder="1"/>
    <xf numFmtId="0" fontId="0" fillId="0" borderId="22" xfId="0" applyBorder="1"/>
    <xf numFmtId="3" fontId="0" fillId="0" borderId="21" xfId="0" applyNumberFormat="1" applyBorder="1"/>
    <xf numFmtId="9" fontId="0" fillId="0" borderId="22" xfId="0" applyNumberFormat="1" applyBorder="1"/>
    <xf numFmtId="3" fontId="0" fillId="0" borderId="23" xfId="0" applyNumberFormat="1" applyBorder="1"/>
    <xf numFmtId="0" fontId="0" fillId="0" borderId="21" xfId="0" applyBorder="1"/>
    <xf numFmtId="49" fontId="0" fillId="0" borderId="0" xfId="0" applyNumberFormat="1"/>
    <xf numFmtId="49" fontId="0" fillId="0" borderId="24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 readingOrder="1"/>
    </xf>
    <xf numFmtId="0" fontId="0" fillId="0" borderId="4" xfId="0" applyBorder="1" applyAlignment="1">
      <alignment horizontal="center" wrapText="1" readingOrder="1"/>
    </xf>
    <xf numFmtId="0" fontId="0" fillId="0" borderId="5" xfId="0" applyBorder="1" applyAlignment="1">
      <alignment horizontal="center" wrapText="1" readingOrder="1"/>
    </xf>
  </cellXfs>
  <cellStyles count="3">
    <cellStyle name="Currency" xfId="2" builtinId="4"/>
    <cellStyle name="Normal" xfId="0" builtinId="0"/>
    <cellStyle name="Percent" xfId="1" builtinId="5"/>
  </cellStyles>
  <dxfs count="56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/>
        <right style="thin">
          <color theme="1"/>
        </right>
        <top/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baseline="0"/>
              <a:t>Global Markets Revenue Bridge — Q1 2024 vs Q1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Analysis'!$B$4</c:f>
              <c:strCache>
                <c:ptCount val="1"/>
                <c:pt idx="0">
                  <c:v>Q1-2024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Analysis'!$A$5:$A$7</c:f>
              <c:strCache>
                <c:ptCount val="3"/>
                <c:pt idx="0">
                  <c:v>FICC</c:v>
                </c:pt>
                <c:pt idx="1">
                  <c:v>Equities</c:v>
                </c:pt>
                <c:pt idx="2">
                  <c:v>Total Market Revenue</c:v>
                </c:pt>
              </c:strCache>
            </c:strRef>
          </c:cat>
          <c:val>
            <c:numRef>
              <c:f>'Variance Analysis'!$B$5:$B$7</c:f>
              <c:numCache>
                <c:formatCode>#,##0</c:formatCode>
                <c:ptCount val="3"/>
                <c:pt idx="0">
                  <c:v>4320</c:v>
                </c:pt>
                <c:pt idx="1">
                  <c:v>3310</c:v>
                </c:pt>
                <c:pt idx="2">
                  <c:v>7630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C-463A-9B76-4F086FE8F5F8}"/>
            </c:ext>
          </c:extLst>
        </c:ser>
        <c:ser>
          <c:idx val="1"/>
          <c:order val="1"/>
          <c:tx>
            <c:strRef>
              <c:f>'Variance Analysis'!$C$4</c:f>
              <c:strCache>
                <c:ptCount val="1"/>
                <c:pt idx="0">
                  <c:v>Q1-2023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'Variance Analysis'!$A$5:$A$7</c:f>
              <c:strCache>
                <c:ptCount val="3"/>
                <c:pt idx="0">
                  <c:v>FICC</c:v>
                </c:pt>
                <c:pt idx="1">
                  <c:v>Equities</c:v>
                </c:pt>
                <c:pt idx="2">
                  <c:v>Total Market Revenue</c:v>
                </c:pt>
              </c:strCache>
            </c:strRef>
          </c:cat>
          <c:val>
            <c:numRef>
              <c:f>'Variance Analysis'!$C$5:$C$7</c:f>
              <c:numCache>
                <c:formatCode>#,##0</c:formatCode>
                <c:ptCount val="3"/>
                <c:pt idx="0">
                  <c:v>3930</c:v>
                </c:pt>
                <c:pt idx="1">
                  <c:v>3020</c:v>
                </c:pt>
                <c:pt idx="2">
                  <c:v>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C-463A-9B76-4F086FE8F5F8}"/>
            </c:ext>
          </c:extLst>
        </c:ser>
        <c:ser>
          <c:idx val="2"/>
          <c:order val="2"/>
          <c:tx>
            <c:strRef>
              <c:f>'Variance Analysis'!$D$4</c:f>
              <c:strCache>
                <c:ptCount val="1"/>
                <c:pt idx="0">
                  <c:v>variance($)</c:v>
                </c:pt>
              </c:strCache>
            </c:strRef>
          </c:tx>
          <c:spPr>
            <a:solidFill>
              <a:srgbClr val="92D050">
                <a:alpha val="90588"/>
              </a:srgbClr>
            </a:solidFill>
            <a:ln>
              <a:noFill/>
            </a:ln>
            <a:effectLst/>
          </c:spPr>
          <c:invertIfNegative val="1"/>
          <c:cat>
            <c:strRef>
              <c:f>'Variance Analysis'!$A$5:$A$7</c:f>
              <c:strCache>
                <c:ptCount val="3"/>
                <c:pt idx="0">
                  <c:v>FICC</c:v>
                </c:pt>
                <c:pt idx="1">
                  <c:v>Equities</c:v>
                </c:pt>
                <c:pt idx="2">
                  <c:v>Total Market Revenue</c:v>
                </c:pt>
              </c:strCache>
            </c:strRef>
          </c:cat>
          <c:val>
            <c:numRef>
              <c:f>'Variance Analysis'!$D$5:$D$7</c:f>
              <c:numCache>
                <c:formatCode>#,##0</c:formatCode>
                <c:ptCount val="3"/>
                <c:pt idx="0">
                  <c:v>390</c:v>
                </c:pt>
                <c:pt idx="1">
                  <c:v>290</c:v>
                </c:pt>
                <c:pt idx="2">
                  <c:v>680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B55C-463A-9B76-4F086FE8F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406623"/>
        <c:axId val="1305399903"/>
      </c:barChart>
      <c:catAx>
        <c:axId val="13054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399903"/>
        <c:crosses val="autoZero"/>
        <c:auto val="1"/>
        <c:lblAlgn val="ctr"/>
        <c:lblOffset val="100"/>
        <c:noMultiLvlLbl val="0"/>
      </c:catAx>
      <c:valAx>
        <c:axId val="130539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0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69850</xdr:colOff>
      <xdr:row>2</xdr:row>
      <xdr:rowOff>15875</xdr:rowOff>
    </xdr:from>
    <xdr:to>
      <xdr:col>9</xdr:col>
      <xdr:colOff>469900</xdr:colOff>
      <xdr:row>14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CD053-C7D3-E780-5F04-F2DF8C09B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750DBB-F0DB-45BC-B98E-CD6C3497DD50}" name="Table3" displayName="Table3" ref="A3:M6" tableBorderDxfId="55">
  <autoFilter ref="A3:M6" xr:uid="{8B750DBB-F0DB-45BC-B98E-CD6C3497DD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793713F-3423-4B8C-8384-B2C94ABB4EA3}" name="Market Revenue" totalsRowLabel="Total Markets Revenue"/>
    <tableColumn id="2" xr3:uid="{BFF7973C-20FA-4B6B-9DE0-F20C8B4A35B7}" name="Q1-2022" totalsRowLabel="7,870" dataDxfId="54" totalsRowDxfId="53"/>
    <tableColumn id="3" xr3:uid="{FDB9B88C-F9D4-4D59-8277-3C48689CDD8E}" name="Q2-2022" totalsRowLabel="6,470" dataDxfId="52" totalsRowDxfId="51"/>
    <tableColumn id="4" xr3:uid="{27E42854-6147-4324-8239-58B05EAC26B0}" name="Q3-2022" totalsRowLabel="6,200" dataDxfId="50" totalsRowDxfId="49"/>
    <tableColumn id="5" xr3:uid="{D060D824-4C7E-4B3A-895B-9E03D169B697}" name="Q4-2022" totalsRowLabel="6,520" dataDxfId="48" totalsRowDxfId="47"/>
    <tableColumn id="6" xr3:uid="{4BA20C17-16EF-4A8C-81EA-75BF7C4E2018}" name="Q1-2023" totalsRowLabel="8,440" dataDxfId="46" totalsRowDxfId="45"/>
    <tableColumn id="7" xr3:uid="{FA57DE92-E770-4421-ADA0-433C82385FA4}" name="Q2-2023" totalsRowLabel="7,190" dataDxfId="44" totalsRowDxfId="43"/>
    <tableColumn id="8" xr3:uid="{96E4AA8C-4A5D-433A-A6EB-0E58688D4E76}" name="Q3-2023" totalsRowLabel="8,010" dataDxfId="42" totalsRowDxfId="41"/>
    <tableColumn id="9" xr3:uid="{A901D954-B256-4A98-A357-4DB6EFF211B1}" name="Q4-2023" totalsRowLabel="6,350" dataDxfId="40" totalsRowDxfId="39"/>
    <tableColumn id="10" xr3:uid="{D5D59EE2-EAF8-4E4A-B989-B74F90453891}" name="Q1-2024" totalsRowLabel="9,730" dataDxfId="38" totalsRowDxfId="37"/>
    <tableColumn id="11" xr3:uid="{D1AE008A-CE7B-451A-ADE2-05E1960D0FFE}" name="Q2-2024" totalsRowLabel="8,180" dataDxfId="36" totalsRowDxfId="35"/>
    <tableColumn id="12" xr3:uid="{8899FC43-D175-4F0D-8FCA-2D650595CAF4}" name="Q3-2024" totalsRowLabel="8,550" dataDxfId="34" totalsRowDxfId="33"/>
    <tableColumn id="13" xr3:uid="{498C0355-0A4F-47A5-8693-2D969A92A8C8}" name="Q4-2024" totalsRowLabel="8,480" dataDxfId="32" totalsRowDxfId="31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6C9E3C-88CB-4A79-A751-432920EB7142}" name="Table5" displayName="Table5" ref="A9:M12" totalsRowCount="1" tableBorderDxfId="30">
  <autoFilter ref="A9:M11" xr:uid="{226C9E3C-88CB-4A79-A751-432920EB71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C111426-15AD-4A91-B114-516939EE0EE1}" name="OPERATING EXPENSES" totalsRowLabel="Total Operating Expense"/>
    <tableColumn id="2" xr3:uid="{9339269F-C1C4-4F5C-845C-6C8CC549F61D}" name="Q1-2022" totalsRowFunction="sum" dataDxfId="29" totalsRowDxfId="28">
      <calculatedColumnFormula>'Raw Data'!B8</calculatedColumnFormula>
    </tableColumn>
    <tableColumn id="3" xr3:uid="{99C5D7DF-B743-40E9-9A8E-DD01344DA981}" name="Q2-2022" totalsRowFunction="sum" dataDxfId="27" totalsRowDxfId="26">
      <calculatedColumnFormula>'Raw Data'!C8</calculatedColumnFormula>
    </tableColumn>
    <tableColumn id="4" xr3:uid="{1F954BA5-B92F-4F47-818F-72740BBE2852}" name="Q3-2022" totalsRowFunction="sum" dataDxfId="25" totalsRowDxfId="24">
      <calculatedColumnFormula>'Raw Data'!D8</calculatedColumnFormula>
    </tableColumn>
    <tableColumn id="5" xr3:uid="{FDEECA27-3474-40A4-BC20-47D5046B1317}" name="Q4-2022" totalsRowFunction="sum" dataDxfId="23" totalsRowDxfId="22">
      <calculatedColumnFormula>'Raw Data'!E8</calculatedColumnFormula>
    </tableColumn>
    <tableColumn id="6" xr3:uid="{60FA6724-ED6D-4E88-9B02-1017071A1DA2}" name="Q1-2023" totalsRowFunction="sum" dataDxfId="21" totalsRowDxfId="20">
      <calculatedColumnFormula>'Raw Data'!F8</calculatedColumnFormula>
    </tableColumn>
    <tableColumn id="7" xr3:uid="{AF37017E-F3E2-4754-BF70-96CE639E4422}" name="Q2-2023" totalsRowFunction="sum" dataDxfId="19" totalsRowDxfId="18">
      <calculatedColumnFormula>'Raw Data'!G8</calculatedColumnFormula>
    </tableColumn>
    <tableColumn id="8" xr3:uid="{D15BE1A5-1A38-43AF-A4C4-C3A271719778}" name="Q3-2023" totalsRowFunction="sum" dataDxfId="17" totalsRowDxfId="16">
      <calculatedColumnFormula>'Raw Data'!H8</calculatedColumnFormula>
    </tableColumn>
    <tableColumn id="9" xr3:uid="{16C1F79D-CBF4-4402-8541-5394350FBAD9}" name="Q4-2023" totalsRowFunction="sum" dataDxfId="15" totalsRowDxfId="14">
      <calculatedColumnFormula>'Raw Data'!I8</calculatedColumnFormula>
    </tableColumn>
    <tableColumn id="10" xr3:uid="{75CB6F9C-108D-4229-A540-97B0503F43B7}" name="Q1-2024" totalsRowFunction="sum" dataDxfId="13" totalsRowDxfId="12">
      <calculatedColumnFormula>'Raw Data'!J8</calculatedColumnFormula>
    </tableColumn>
    <tableColumn id="11" xr3:uid="{AD8C67F0-29D7-414C-B383-E7267FD885A5}" name="Q2-2024" totalsRowFunction="sum" dataDxfId="11" totalsRowDxfId="10">
      <calculatedColumnFormula>'Raw Data'!K8</calculatedColumnFormula>
    </tableColumn>
    <tableColumn id="12" xr3:uid="{52A255DE-36DF-4882-B474-EC4097BEB5B6}" name="Q3-2024" totalsRowFunction="sum" dataDxfId="9" totalsRowDxfId="8">
      <calculatedColumnFormula>'Raw Data'!L8</calculatedColumnFormula>
    </tableColumn>
    <tableColumn id="13" xr3:uid="{81067AAF-E2C3-4CA5-B3A8-A8552D79BB44}" name="Q4-2024" totalsRowFunction="sum" dataDxfId="7" totalsRowDxfId="6">
      <calculatedColumnFormula>'Raw Data'!M8</calculatedColumnFormula>
    </tableColumn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BAF5A-67A0-42AB-9141-4434B76560DA}" name="Table1" displayName="Table1" ref="B4:F103" totalsRowShown="0">
  <autoFilter ref="B4:F103" xr:uid="{E1EBAF5A-67A0-42AB-9141-4434B76560D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CC5441-C459-4ABB-93BF-678F9891BE0E}" name="Year"/>
    <tableColumn id="2" xr3:uid="{1082EBD8-B787-4C53-8E0D-DD43A83E0ED7}" name="Period"/>
    <tableColumn id="3" xr3:uid="{EA3948E3-5FED-4876-89F2-F1FDCFD68BC9}" name="Metric"/>
    <tableColumn id="4" xr3:uid="{FA600738-E187-4970-98A5-CCD71DA3C622}" name="Value" dataDxfId="5"/>
    <tableColumn id="5" xr3:uid="{406DDBC8-AF1E-4FEC-A368-17F551BD246D}" name="Scenario" dataDxfId="4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BCD24F-310A-4A5F-A77A-6D26A1716D06}" name="Table2" displayName="Table2" ref="H4:K13" totalsRowShown="0" headerRowDxfId="3">
  <autoFilter ref="H4:K13" xr:uid="{5ABCD24F-310A-4A5F-A77A-6D26A1716D06}"/>
  <tableColumns count="4">
    <tableColumn id="1" xr3:uid="{C9FAF340-9D90-4800-BD47-F6CCAEB09597}" name="period" dataDxfId="2"/>
    <tableColumn id="2" xr3:uid="{BBB21940-1ADF-47B6-9706-41302E5397E1}" name="metric" dataDxfId="1"/>
    <tableColumn id="3" xr3:uid="{92CF7E66-CD17-483D-942D-A47404754AEC}" name="value" dataDxfId="0"/>
    <tableColumn id="4" xr3:uid="{5A9AAB57-D253-481D-A982-1553E1F859F5}" name="scenario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93D2-3BA6-4719-918C-AC8274220AD7}">
  <dimension ref="A1:M13"/>
  <sheetViews>
    <sheetView tabSelected="1" zoomScale="132" zoomScaleNormal="132" workbookViewId="0">
      <pane xSplit="1" topLeftCell="I1" activePane="topRight" state="frozen"/>
      <selection pane="topRight" activeCell="G16" sqref="G16"/>
    </sheetView>
  </sheetViews>
  <sheetFormatPr defaultRowHeight="14.5" x14ac:dyDescent="0.35"/>
  <cols>
    <col min="1" max="1" width="25.453125" bestFit="1" customWidth="1"/>
    <col min="2" max="2" width="10" bestFit="1" customWidth="1"/>
  </cols>
  <sheetData>
    <row r="1" spans="1:13" x14ac:dyDescent="0.35">
      <c r="A1" s="10" t="s">
        <v>0</v>
      </c>
      <c r="B1" s="11" t="s">
        <v>1</v>
      </c>
      <c r="C1" s="11" t="s">
        <v>2</v>
      </c>
      <c r="D1" s="11" t="s">
        <v>4</v>
      </c>
      <c r="E1" s="68" t="s">
        <v>5</v>
      </c>
      <c r="F1" s="11" t="s">
        <v>3</v>
      </c>
      <c r="G1" s="11" t="s">
        <v>6</v>
      </c>
      <c r="H1" s="11" t="s">
        <v>7</v>
      </c>
      <c r="I1" s="68" t="s">
        <v>8</v>
      </c>
      <c r="J1" s="11" t="s">
        <v>9</v>
      </c>
      <c r="K1" s="11" t="s">
        <v>10</v>
      </c>
      <c r="L1" s="11" t="s">
        <v>11</v>
      </c>
      <c r="M1" s="12" t="s">
        <v>12</v>
      </c>
    </row>
    <row r="2" spans="1:13" x14ac:dyDescent="0.35">
      <c r="A2" s="13" t="s">
        <v>28</v>
      </c>
      <c r="B2" s="1">
        <v>12933</v>
      </c>
      <c r="C2" s="1">
        <v>11860</v>
      </c>
      <c r="D2" s="1">
        <v>11980</v>
      </c>
      <c r="E2" s="6">
        <v>10590</v>
      </c>
      <c r="F2" s="1">
        <v>12220</v>
      </c>
      <c r="G2" s="1">
        <v>10900</v>
      </c>
      <c r="H2" s="1">
        <v>11820</v>
      </c>
      <c r="I2" s="6">
        <v>11320</v>
      </c>
      <c r="J2" s="1">
        <v>14210</v>
      </c>
      <c r="K2" s="1">
        <v>12730</v>
      </c>
      <c r="L2" s="1">
        <v>12700</v>
      </c>
      <c r="M2" s="59">
        <v>13870</v>
      </c>
    </row>
    <row r="3" spans="1:13" x14ac:dyDescent="0.35">
      <c r="A3" s="13" t="s">
        <v>29</v>
      </c>
      <c r="B3" s="1">
        <v>4720</v>
      </c>
      <c r="C3" s="1">
        <v>3610</v>
      </c>
      <c r="D3" s="1">
        <v>3530</v>
      </c>
      <c r="E3" s="6">
        <v>2690</v>
      </c>
      <c r="F3" s="1">
        <v>3930</v>
      </c>
      <c r="G3" s="1">
        <v>2710</v>
      </c>
      <c r="H3" s="1">
        <v>3380</v>
      </c>
      <c r="I3" s="6">
        <v>2030</v>
      </c>
      <c r="J3" s="1">
        <v>4320</v>
      </c>
      <c r="K3" s="1">
        <v>3180</v>
      </c>
      <c r="L3" s="1">
        <v>2960</v>
      </c>
      <c r="M3" s="59">
        <v>2740</v>
      </c>
    </row>
    <row r="4" spans="1:13" x14ac:dyDescent="0.35">
      <c r="A4" s="13" t="s">
        <v>13</v>
      </c>
      <c r="B4" s="1">
        <f>B2-B3</f>
        <v>8213</v>
      </c>
      <c r="C4" s="1">
        <f t="shared" ref="C4:M4" si="0">C2-C3</f>
        <v>8250</v>
      </c>
      <c r="D4" s="1">
        <f t="shared" si="0"/>
        <v>8450</v>
      </c>
      <c r="E4" s="6">
        <f t="shared" si="0"/>
        <v>7900</v>
      </c>
      <c r="F4" s="1">
        <f t="shared" si="0"/>
        <v>8290</v>
      </c>
      <c r="G4" s="1">
        <f t="shared" si="0"/>
        <v>8190</v>
      </c>
      <c r="H4" s="1">
        <f t="shared" si="0"/>
        <v>8440</v>
      </c>
      <c r="I4" s="6">
        <f t="shared" si="0"/>
        <v>9290</v>
      </c>
      <c r="J4" s="1">
        <f t="shared" si="0"/>
        <v>9890</v>
      </c>
      <c r="K4" s="1">
        <f t="shared" si="0"/>
        <v>9550</v>
      </c>
      <c r="L4" s="1">
        <f t="shared" si="0"/>
        <v>9740</v>
      </c>
      <c r="M4" s="59">
        <f t="shared" si="0"/>
        <v>11130</v>
      </c>
    </row>
    <row r="5" spans="1:13" x14ac:dyDescent="0.35">
      <c r="A5" s="13" t="s">
        <v>30</v>
      </c>
      <c r="B5" s="1">
        <v>3150</v>
      </c>
      <c r="C5" s="1">
        <v>2860</v>
      </c>
      <c r="D5" s="1">
        <v>2680</v>
      </c>
      <c r="E5" s="6">
        <v>2070</v>
      </c>
      <c r="F5" s="1">
        <v>3020</v>
      </c>
      <c r="G5" s="1">
        <v>2970</v>
      </c>
      <c r="H5" s="1">
        <v>2960</v>
      </c>
      <c r="I5" s="6">
        <v>2610</v>
      </c>
      <c r="J5" s="1">
        <v>3310</v>
      </c>
      <c r="K5" s="1">
        <v>3170</v>
      </c>
      <c r="L5" s="1">
        <v>3500</v>
      </c>
      <c r="M5" s="59">
        <v>3450</v>
      </c>
    </row>
    <row r="6" spans="1:13" x14ac:dyDescent="0.35">
      <c r="A6" s="13" t="s">
        <v>14</v>
      </c>
      <c r="B6">
        <f>B2-B5</f>
        <v>9783</v>
      </c>
      <c r="C6">
        <f t="shared" ref="C6:M6" si="1">C2-C5</f>
        <v>9000</v>
      </c>
      <c r="D6">
        <f t="shared" si="1"/>
        <v>9300</v>
      </c>
      <c r="E6" s="7">
        <f t="shared" si="1"/>
        <v>8520</v>
      </c>
      <c r="F6">
        <f t="shared" si="1"/>
        <v>9200</v>
      </c>
      <c r="G6">
        <f t="shared" si="1"/>
        <v>7930</v>
      </c>
      <c r="H6">
        <f t="shared" si="1"/>
        <v>8860</v>
      </c>
      <c r="I6" s="7">
        <f t="shared" si="1"/>
        <v>8710</v>
      </c>
      <c r="J6">
        <f t="shared" si="1"/>
        <v>10900</v>
      </c>
      <c r="K6">
        <f t="shared" si="1"/>
        <v>9560</v>
      </c>
      <c r="L6">
        <f t="shared" si="1"/>
        <v>9200</v>
      </c>
      <c r="M6" s="24">
        <f t="shared" si="1"/>
        <v>10420</v>
      </c>
    </row>
    <row r="7" spans="1:13" x14ac:dyDescent="0.35">
      <c r="A7" s="13" t="s">
        <v>31</v>
      </c>
      <c r="B7" s="1">
        <f>B3+B5</f>
        <v>7870</v>
      </c>
      <c r="C7" s="1">
        <f t="shared" ref="C7:M7" si="2">C3+C5</f>
        <v>6470</v>
      </c>
      <c r="D7" s="1">
        <f t="shared" si="2"/>
        <v>6210</v>
      </c>
      <c r="E7" s="6">
        <f t="shared" si="2"/>
        <v>4760</v>
      </c>
      <c r="F7" s="1">
        <f t="shared" si="2"/>
        <v>6950</v>
      </c>
      <c r="G7" s="1">
        <f t="shared" si="2"/>
        <v>5680</v>
      </c>
      <c r="H7" s="1">
        <f t="shared" si="2"/>
        <v>6340</v>
      </c>
      <c r="I7" s="6">
        <f>I3+I5</f>
        <v>4640</v>
      </c>
      <c r="J7" s="1">
        <f t="shared" si="2"/>
        <v>7630</v>
      </c>
      <c r="K7" s="1">
        <f>K3+K5</f>
        <v>6350</v>
      </c>
      <c r="L7" s="1">
        <f t="shared" si="2"/>
        <v>6460</v>
      </c>
      <c r="M7" s="59">
        <f t="shared" si="2"/>
        <v>6190</v>
      </c>
    </row>
    <row r="8" spans="1:13" x14ac:dyDescent="0.35">
      <c r="A8" s="13" t="s">
        <v>32</v>
      </c>
      <c r="B8" s="1">
        <f>B10*0.485</f>
        <v>2143.6999999999998</v>
      </c>
      <c r="C8" s="1">
        <f t="shared" ref="C8:E8" si="3">C10*0.485</f>
        <v>2126.2399999999998</v>
      </c>
      <c r="D8" s="1">
        <f t="shared" si="3"/>
        <v>2140.3049999999998</v>
      </c>
      <c r="E8" s="6">
        <f t="shared" si="3"/>
        <v>2247.9749999999999</v>
      </c>
      <c r="F8" s="1">
        <f>F10*0.475</f>
        <v>2087.625</v>
      </c>
      <c r="G8" s="1">
        <f t="shared" ref="G8:I8" si="4">G10*0.475</f>
        <v>2122.7750000000001</v>
      </c>
      <c r="H8" s="1">
        <f t="shared" si="4"/>
        <v>2249.6</v>
      </c>
      <c r="I8" s="6">
        <f t="shared" si="4"/>
        <v>2109</v>
      </c>
      <c r="J8" s="1">
        <f>J10*0.472</f>
        <v>2419.4719999999998</v>
      </c>
      <c r="K8" s="1">
        <f t="shared" ref="K8:M8" si="5">K10*0.472</f>
        <v>2384.0719999999997</v>
      </c>
      <c r="L8" s="1">
        <f t="shared" si="5"/>
        <v>2323.1839999999997</v>
      </c>
      <c r="M8" s="59">
        <f t="shared" si="5"/>
        <v>2308.08</v>
      </c>
    </row>
    <row r="9" spans="1:13" x14ac:dyDescent="0.35">
      <c r="A9" s="13" t="s">
        <v>33</v>
      </c>
      <c r="B9" s="1">
        <f>B10-B8</f>
        <v>2276.3000000000002</v>
      </c>
      <c r="C9" s="1">
        <f t="shared" ref="C9:M9" si="6">C10-C8</f>
        <v>2257.7600000000002</v>
      </c>
      <c r="D9" s="1">
        <f t="shared" si="6"/>
        <v>2272.6950000000002</v>
      </c>
      <c r="E9" s="6">
        <f t="shared" si="6"/>
        <v>2387.0250000000001</v>
      </c>
      <c r="F9" s="1">
        <f t="shared" si="6"/>
        <v>2307.375</v>
      </c>
      <c r="G9" s="1">
        <f t="shared" si="6"/>
        <v>2346.2249999999999</v>
      </c>
      <c r="H9" s="1">
        <f t="shared" si="6"/>
        <v>2486.4</v>
      </c>
      <c r="I9" s="6">
        <f t="shared" si="6"/>
        <v>2331</v>
      </c>
      <c r="J9" s="1">
        <f t="shared" si="6"/>
        <v>2706.5280000000002</v>
      </c>
      <c r="K9" s="1">
        <f t="shared" si="6"/>
        <v>2666.9280000000003</v>
      </c>
      <c r="L9" s="1">
        <f t="shared" si="6"/>
        <v>2598.8160000000003</v>
      </c>
      <c r="M9" s="59">
        <f t="shared" si="6"/>
        <v>2581.92</v>
      </c>
    </row>
    <row r="10" spans="1:13" x14ac:dyDescent="0.35">
      <c r="A10" s="13" t="s">
        <v>35</v>
      </c>
      <c r="B10">
        <v>4420</v>
      </c>
      <c r="C10" s="1">
        <v>4384</v>
      </c>
      <c r="D10" s="1">
        <v>4413</v>
      </c>
      <c r="E10" s="6">
        <v>4635</v>
      </c>
      <c r="F10" s="1">
        <v>4395</v>
      </c>
      <c r="G10" s="1">
        <v>4469</v>
      </c>
      <c r="H10" s="1">
        <v>4736</v>
      </c>
      <c r="I10" s="6">
        <v>4440</v>
      </c>
      <c r="J10" s="1">
        <v>5126</v>
      </c>
      <c r="K10" s="1">
        <v>5051</v>
      </c>
      <c r="L10" s="1">
        <v>4922</v>
      </c>
      <c r="M10" s="59">
        <v>4890</v>
      </c>
    </row>
    <row r="11" spans="1:13" x14ac:dyDescent="0.35">
      <c r="A11" s="13" t="s">
        <v>34</v>
      </c>
      <c r="B11" s="1">
        <v>4656</v>
      </c>
      <c r="C11" s="1">
        <v>3544</v>
      </c>
      <c r="D11" s="1">
        <v>3756</v>
      </c>
      <c r="E11" s="6">
        <v>1530</v>
      </c>
      <c r="F11" s="1">
        <v>3993</v>
      </c>
      <c r="G11" s="1">
        <v>1736</v>
      </c>
      <c r="H11" s="1">
        <v>2756</v>
      </c>
      <c r="I11" s="6">
        <v>2254</v>
      </c>
      <c r="J11" s="1">
        <v>5237</v>
      </c>
      <c r="K11" s="1">
        <v>3916</v>
      </c>
      <c r="L11" s="1">
        <v>3987</v>
      </c>
      <c r="M11" s="59">
        <v>5257</v>
      </c>
    </row>
    <row r="12" spans="1:13" x14ac:dyDescent="0.35">
      <c r="A12" s="13" t="s">
        <v>15</v>
      </c>
      <c r="B12" s="38">
        <f>B11/B2</f>
        <v>0.36000927858965437</v>
      </c>
      <c r="C12" s="38">
        <f t="shared" ref="C12:M12" si="7">C11/C2</f>
        <v>0.29881956155143341</v>
      </c>
      <c r="D12" s="38">
        <f t="shared" si="7"/>
        <v>0.31352253756260434</v>
      </c>
      <c r="E12" s="8">
        <f t="shared" si="7"/>
        <v>0.14447592067988668</v>
      </c>
      <c r="F12" s="38">
        <f t="shared" si="7"/>
        <v>0.32675941080196397</v>
      </c>
      <c r="G12" s="38">
        <f t="shared" si="7"/>
        <v>0.15926605504587155</v>
      </c>
      <c r="H12" s="38">
        <f t="shared" si="7"/>
        <v>0.23316412859560068</v>
      </c>
      <c r="I12" s="8">
        <f t="shared" si="7"/>
        <v>0.19911660777385159</v>
      </c>
      <c r="J12" s="38">
        <f t="shared" si="7"/>
        <v>0.36854327938071779</v>
      </c>
      <c r="K12" s="38">
        <f t="shared" si="7"/>
        <v>0.30761979575805187</v>
      </c>
      <c r="L12" s="38">
        <f t="shared" si="7"/>
        <v>0.31393700787401574</v>
      </c>
      <c r="M12" s="14">
        <f t="shared" si="7"/>
        <v>0.37901946647440521</v>
      </c>
    </row>
    <row r="13" spans="1:13" x14ac:dyDescent="0.35">
      <c r="A13" s="17" t="s">
        <v>16</v>
      </c>
      <c r="B13" s="19">
        <v>45100</v>
      </c>
      <c r="C13" s="19">
        <v>47000</v>
      </c>
      <c r="D13" s="19">
        <v>49100</v>
      </c>
      <c r="E13" s="69">
        <v>48500</v>
      </c>
      <c r="F13" s="19">
        <v>45400</v>
      </c>
      <c r="G13" s="19">
        <v>44600</v>
      </c>
      <c r="H13" s="19">
        <v>45900</v>
      </c>
      <c r="I13" s="69">
        <v>45300</v>
      </c>
      <c r="J13" s="19">
        <v>44400</v>
      </c>
      <c r="K13" s="19">
        <v>44300</v>
      </c>
      <c r="L13" s="19">
        <v>46400</v>
      </c>
      <c r="M13" s="60">
        <v>46500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AD68-FC8F-4693-81A8-5B196EFC38FD}">
  <dimension ref="A1:XFD29"/>
  <sheetViews>
    <sheetView topLeftCell="D1" workbookViewId="0">
      <selection activeCell="O12" sqref="O12"/>
    </sheetView>
  </sheetViews>
  <sheetFormatPr defaultRowHeight="14.5" x14ac:dyDescent="0.35"/>
  <cols>
    <col min="1" max="1" width="21.36328125" customWidth="1"/>
    <col min="2" max="9" width="10.26953125" customWidth="1"/>
    <col min="10" max="99" width="11.26953125" customWidth="1"/>
    <col min="100" max="999" width="12.26953125" customWidth="1"/>
    <col min="1000" max="9999" width="13.26953125" customWidth="1"/>
    <col min="10000" max="16384" width="14.26953125" customWidth="1"/>
  </cols>
  <sheetData>
    <row r="1" spans="1:13 16384:16384" x14ac:dyDescent="0.35">
      <c r="A1" s="77" t="s">
        <v>17</v>
      </c>
      <c r="B1" s="78"/>
      <c r="C1" s="78"/>
      <c r="D1" s="78"/>
      <c r="E1" s="78"/>
      <c r="F1" s="78"/>
      <c r="G1" s="78"/>
      <c r="H1" s="78"/>
    </row>
    <row r="3" spans="1:13 16384:16384" x14ac:dyDescent="0.35">
      <c r="A3" t="s">
        <v>45</v>
      </c>
      <c r="B3" s="2" t="s">
        <v>1</v>
      </c>
      <c r="C3" s="2" t="s">
        <v>2</v>
      </c>
      <c r="D3" s="2" t="s">
        <v>4</v>
      </c>
      <c r="E3" s="2" t="s">
        <v>5</v>
      </c>
      <c r="F3" s="2" t="s">
        <v>3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 16384:16384" x14ac:dyDescent="0.35">
      <c r="A4" t="s">
        <v>20</v>
      </c>
      <c r="B4" s="1">
        <f>'Raw Data'!B3</f>
        <v>4720</v>
      </c>
      <c r="C4" s="1">
        <f>'Raw Data'!C3</f>
        <v>3610</v>
      </c>
      <c r="D4" s="1">
        <f>'Raw Data'!D3</f>
        <v>3530</v>
      </c>
      <c r="E4" s="1">
        <f>'Raw Data'!E3</f>
        <v>2690</v>
      </c>
      <c r="F4" s="1">
        <f>'Raw Data'!F3</f>
        <v>3930</v>
      </c>
      <c r="G4" s="1">
        <f>'Raw Data'!G3</f>
        <v>2710</v>
      </c>
      <c r="H4" s="1">
        <f>'Raw Data'!H3</f>
        <v>3380</v>
      </c>
      <c r="I4" s="1">
        <f>'Raw Data'!I3</f>
        <v>2030</v>
      </c>
      <c r="J4" s="1">
        <f>'Raw Data'!J3</f>
        <v>4320</v>
      </c>
      <c r="K4" s="1">
        <f>'Raw Data'!K3</f>
        <v>3180</v>
      </c>
      <c r="L4" s="1">
        <f>'Raw Data'!L3</f>
        <v>2960</v>
      </c>
      <c r="M4" s="1">
        <f>'Raw Data'!M3</f>
        <v>2740</v>
      </c>
    </row>
    <row r="5" spans="1:13 16384:16384" x14ac:dyDescent="0.35">
      <c r="A5" t="s">
        <v>21</v>
      </c>
      <c r="B5" s="1">
        <f>'Raw Data'!B5</f>
        <v>3150</v>
      </c>
      <c r="C5" s="1">
        <f>'Raw Data'!C5</f>
        <v>2860</v>
      </c>
      <c r="D5" s="1">
        <f>'Raw Data'!D5</f>
        <v>2680</v>
      </c>
      <c r="E5" s="1">
        <f>'Raw Data'!E5</f>
        <v>2070</v>
      </c>
      <c r="F5" s="1">
        <f>'Raw Data'!F5</f>
        <v>3020</v>
      </c>
      <c r="G5" s="1">
        <f>'Raw Data'!G5</f>
        <v>2970</v>
      </c>
      <c r="H5" s="1">
        <f>'Raw Data'!H5</f>
        <v>2960</v>
      </c>
      <c r="I5" s="1">
        <f>'Raw Data'!I5</f>
        <v>2610</v>
      </c>
      <c r="J5" s="1">
        <f>'Raw Data'!J5</f>
        <v>3310</v>
      </c>
      <c r="K5" s="1">
        <f>'Raw Data'!K5</f>
        <v>3170</v>
      </c>
      <c r="L5" s="1">
        <f>'Raw Data'!L5</f>
        <v>3500</v>
      </c>
      <c r="M5" s="1">
        <f>'Raw Data'!M5</f>
        <v>3450</v>
      </c>
    </row>
    <row r="6" spans="1:13 16384:16384" x14ac:dyDescent="0.35">
      <c r="A6" s="2" t="s">
        <v>36</v>
      </c>
      <c r="B6" s="3">
        <f>B4+B5</f>
        <v>7870</v>
      </c>
      <c r="C6" s="3">
        <f t="shared" ref="C6:M6" si="0">C4+C5</f>
        <v>6470</v>
      </c>
      <c r="D6" s="3">
        <f t="shared" si="0"/>
        <v>6210</v>
      </c>
      <c r="E6" s="3">
        <f t="shared" si="0"/>
        <v>4760</v>
      </c>
      <c r="F6" s="3">
        <f t="shared" si="0"/>
        <v>6950</v>
      </c>
      <c r="G6" s="3">
        <f t="shared" si="0"/>
        <v>5680</v>
      </c>
      <c r="H6" s="3">
        <f t="shared" si="0"/>
        <v>6340</v>
      </c>
      <c r="I6" s="3">
        <f t="shared" si="0"/>
        <v>4640</v>
      </c>
      <c r="J6" s="3">
        <f t="shared" si="0"/>
        <v>7630</v>
      </c>
      <c r="K6" s="3">
        <f t="shared" si="0"/>
        <v>6350</v>
      </c>
      <c r="L6" s="3">
        <f t="shared" si="0"/>
        <v>6460</v>
      </c>
      <c r="M6" s="3">
        <f t="shared" si="0"/>
        <v>6190</v>
      </c>
    </row>
    <row r="7" spans="1:13 16384:16384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9" spans="1:13 16384:16384" x14ac:dyDescent="0.35">
      <c r="A9" t="s">
        <v>18</v>
      </c>
      <c r="B9" s="2" t="s">
        <v>1</v>
      </c>
      <c r="C9" s="2" t="s">
        <v>2</v>
      </c>
      <c r="D9" s="2" t="s">
        <v>4</v>
      </c>
      <c r="E9" s="2" t="s">
        <v>5</v>
      </c>
      <c r="F9" s="2" t="s">
        <v>3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</row>
    <row r="10" spans="1:13 16384:16384" x14ac:dyDescent="0.35">
      <c r="A10" t="s">
        <v>22</v>
      </c>
      <c r="B10" s="1">
        <f>'Raw Data'!B8</f>
        <v>2143.6999999999998</v>
      </c>
      <c r="C10" s="1">
        <f>'Raw Data'!C8</f>
        <v>2126.2399999999998</v>
      </c>
      <c r="D10" s="1">
        <f>'Raw Data'!D8</f>
        <v>2140.3049999999998</v>
      </c>
      <c r="E10" s="1">
        <f>'Raw Data'!E8</f>
        <v>2247.9749999999999</v>
      </c>
      <c r="F10" s="1">
        <f>'Raw Data'!F8</f>
        <v>2087.625</v>
      </c>
      <c r="G10" s="1">
        <f>'Raw Data'!G8</f>
        <v>2122.7750000000001</v>
      </c>
      <c r="H10" s="1">
        <f>'Raw Data'!H8</f>
        <v>2249.6</v>
      </c>
      <c r="I10" s="1">
        <f>'Raw Data'!I8</f>
        <v>2109</v>
      </c>
      <c r="J10" s="1">
        <f>'Raw Data'!J8</f>
        <v>2419.4719999999998</v>
      </c>
      <c r="K10" s="1">
        <f>'Raw Data'!K8</f>
        <v>2384.0719999999997</v>
      </c>
      <c r="L10" s="1">
        <f>'Raw Data'!L8</f>
        <v>2323.1839999999997</v>
      </c>
      <c r="M10" s="1">
        <f>'Raw Data'!M8</f>
        <v>2308.08</v>
      </c>
    </row>
    <row r="11" spans="1:13 16384:16384" x14ac:dyDescent="0.35">
      <c r="A11" t="s">
        <v>23</v>
      </c>
      <c r="B11" s="1">
        <f>'Raw Data'!B9</f>
        <v>2276.3000000000002</v>
      </c>
      <c r="C11" s="1">
        <f>'Raw Data'!C9</f>
        <v>2257.7600000000002</v>
      </c>
      <c r="D11" s="1">
        <f>'Raw Data'!D9</f>
        <v>2272.6950000000002</v>
      </c>
      <c r="E11" s="1">
        <f>'Raw Data'!E9</f>
        <v>2387.0250000000001</v>
      </c>
      <c r="F11" s="1">
        <f>'Raw Data'!F9</f>
        <v>2307.375</v>
      </c>
      <c r="G11" s="1">
        <f>'Raw Data'!G9</f>
        <v>2346.2249999999999</v>
      </c>
      <c r="H11" s="1">
        <f>'Raw Data'!H9</f>
        <v>2486.4</v>
      </c>
      <c r="I11" s="1">
        <f>'Raw Data'!I9</f>
        <v>2331</v>
      </c>
      <c r="J11" s="1">
        <f>'Raw Data'!J9</f>
        <v>2706.5280000000002</v>
      </c>
      <c r="K11" s="1">
        <f>'Raw Data'!K9</f>
        <v>2666.9280000000003</v>
      </c>
      <c r="L11" s="1">
        <f>'Raw Data'!L9</f>
        <v>2598.8160000000003</v>
      </c>
      <c r="M11" s="1">
        <f>'Raw Data'!M9</f>
        <v>2581.92</v>
      </c>
    </row>
    <row r="12" spans="1:13 16384:16384" x14ac:dyDescent="0.35">
      <c r="A12" t="s">
        <v>37</v>
      </c>
      <c r="B12" s="1">
        <f>SUBTOTAL(109,Table5[Q1-2022])</f>
        <v>4420</v>
      </c>
      <c r="C12" s="1">
        <f>SUBTOTAL(109,Table5[Q2-2022])</f>
        <v>4384</v>
      </c>
      <c r="D12" s="1">
        <f>SUBTOTAL(109,Table5[Q3-2022])</f>
        <v>4413</v>
      </c>
      <c r="E12" s="1">
        <f>SUBTOTAL(109,Table5[Q4-2022])</f>
        <v>4635</v>
      </c>
      <c r="F12" s="1">
        <f>SUBTOTAL(109,Table5[Q1-2023])</f>
        <v>4395</v>
      </c>
      <c r="G12" s="1">
        <f>SUBTOTAL(109,Table5[Q2-2023])</f>
        <v>4469</v>
      </c>
      <c r="H12" s="1">
        <f>SUBTOTAL(109,Table5[Q3-2023])</f>
        <v>4736</v>
      </c>
      <c r="I12" s="1">
        <f>SUBTOTAL(109,Table5[Q4-2023])</f>
        <v>4440</v>
      </c>
      <c r="J12" s="1">
        <f>SUBTOTAL(109,Table5[Q1-2024])</f>
        <v>5126</v>
      </c>
      <c r="K12" s="1">
        <f>SUBTOTAL(109,Table5[Q2-2024])</f>
        <v>5051</v>
      </c>
      <c r="L12" s="1">
        <f>SUBTOTAL(109,Table5[Q3-2024])</f>
        <v>4922</v>
      </c>
      <c r="M12" s="1">
        <f>SUBTOTAL(109,Table5[Q4-2024])</f>
        <v>4890</v>
      </c>
    </row>
    <row r="13" spans="1:13 16384:16384" x14ac:dyDescent="0.35">
      <c r="XFD13" t="e">
        <f>SUBTOTAL(103,#REF!)</f>
        <v>#REF!</v>
      </c>
    </row>
    <row r="15" spans="1:13 16384:16384" x14ac:dyDescent="0.35">
      <c r="A15" s="10" t="s">
        <v>19</v>
      </c>
      <c r="B15" s="57" t="s">
        <v>1</v>
      </c>
      <c r="C15" s="57" t="s">
        <v>2</v>
      </c>
      <c r="D15" s="57" t="s">
        <v>4</v>
      </c>
      <c r="E15" s="57" t="s">
        <v>5</v>
      </c>
      <c r="F15" s="57" t="s">
        <v>3</v>
      </c>
      <c r="G15" s="57" t="s">
        <v>6</v>
      </c>
      <c r="H15" s="57" t="s">
        <v>7</v>
      </c>
      <c r="I15" s="57" t="s">
        <v>8</v>
      </c>
      <c r="J15" s="57" t="s">
        <v>9</v>
      </c>
      <c r="K15" s="57" t="s">
        <v>10</v>
      </c>
      <c r="L15" s="57" t="s">
        <v>11</v>
      </c>
      <c r="M15" s="58" t="s">
        <v>12</v>
      </c>
    </row>
    <row r="16" spans="1:13 16384:16384" x14ac:dyDescent="0.35">
      <c r="A16" s="23" t="s">
        <v>15</v>
      </c>
      <c r="B16" s="38">
        <f>'Raw Data'!B11/'Raw Data'!B2</f>
        <v>0.36000927858965437</v>
      </c>
      <c r="C16" s="38">
        <f>'Raw Data'!C11/'Raw Data'!C2</f>
        <v>0.29881956155143341</v>
      </c>
      <c r="D16" s="38">
        <f>'Raw Data'!D11/'Raw Data'!D2</f>
        <v>0.31352253756260434</v>
      </c>
      <c r="E16" s="38">
        <f>'Raw Data'!E11/'Raw Data'!E2</f>
        <v>0.14447592067988668</v>
      </c>
      <c r="F16" s="38">
        <f>'Raw Data'!F11/'Raw Data'!F2</f>
        <v>0.32675941080196397</v>
      </c>
      <c r="G16" s="38">
        <f>'Raw Data'!G11/'Raw Data'!G2</f>
        <v>0.15926605504587155</v>
      </c>
      <c r="H16" s="38">
        <f>'Raw Data'!H11/'Raw Data'!H2</f>
        <v>0.23316412859560068</v>
      </c>
      <c r="I16" s="38">
        <f>'Raw Data'!I11/'Raw Data'!I2</f>
        <v>0.19911660777385159</v>
      </c>
      <c r="J16" s="38">
        <f>'Raw Data'!J11/'Raw Data'!J2</f>
        <v>0.36854327938071779</v>
      </c>
      <c r="K16" s="38">
        <f>'Raw Data'!K11/'Raw Data'!K2</f>
        <v>0.30761979575805187</v>
      </c>
      <c r="L16" s="38">
        <f>'Raw Data'!L11/'Raw Data'!L2</f>
        <v>0.31393700787401574</v>
      </c>
      <c r="M16" s="14">
        <f>'Raw Data'!M11/'Raw Data'!M2</f>
        <v>0.37901946647440521</v>
      </c>
    </row>
    <row r="17" spans="1:13" x14ac:dyDescent="0.35">
      <c r="A17" s="23" t="s">
        <v>24</v>
      </c>
      <c r="B17" s="38">
        <f>B10/B6</f>
        <v>0.27238881829733164</v>
      </c>
      <c r="C17" s="38">
        <f t="shared" ref="C17:M17" si="1">C10/C6</f>
        <v>0.32863060278207107</v>
      </c>
      <c r="D17" s="38">
        <f t="shared" si="1"/>
        <v>0.34465458937198062</v>
      </c>
      <c r="E17" s="38">
        <f t="shared" si="1"/>
        <v>0.47226365546218485</v>
      </c>
      <c r="F17" s="38">
        <f t="shared" si="1"/>
        <v>0.30037769784172663</v>
      </c>
      <c r="G17" s="38">
        <f t="shared" si="1"/>
        <v>0.3737279929577465</v>
      </c>
      <c r="H17" s="38">
        <f t="shared" si="1"/>
        <v>0.35482649842271291</v>
      </c>
      <c r="I17" s="38">
        <f t="shared" si="1"/>
        <v>0.4545258620689655</v>
      </c>
      <c r="J17" s="38">
        <f t="shared" si="1"/>
        <v>0.31709986893840103</v>
      </c>
      <c r="K17" s="38">
        <f t="shared" si="1"/>
        <v>0.37544440944881885</v>
      </c>
      <c r="L17" s="38">
        <f t="shared" si="1"/>
        <v>0.3596260061919504</v>
      </c>
      <c r="M17" s="14">
        <f t="shared" si="1"/>
        <v>0.3728723747980614</v>
      </c>
    </row>
    <row r="18" spans="1:13" x14ac:dyDescent="0.35">
      <c r="A18" s="23" t="s">
        <v>25</v>
      </c>
      <c r="B18" s="16">
        <f>'Raw Data'!B7/'Raw Data'!B13</f>
        <v>0.17450110864745011</v>
      </c>
      <c r="C18" s="16">
        <f>'Raw Data'!C7/'Raw Data'!C13</f>
        <v>0.13765957446808511</v>
      </c>
      <c r="D18" s="16">
        <f>'Raw Data'!D7/'Raw Data'!D13</f>
        <v>0.1264765784114053</v>
      </c>
      <c r="E18" s="16">
        <f>'Raw Data'!E7/'Raw Data'!E13</f>
        <v>9.8144329896907218E-2</v>
      </c>
      <c r="F18" s="16">
        <f>'Raw Data'!F7/'Raw Data'!F13</f>
        <v>0.15308370044052863</v>
      </c>
      <c r="G18" s="16">
        <f>'Raw Data'!G7/'Raw Data'!G13</f>
        <v>0.12735426008968609</v>
      </c>
      <c r="H18" s="16">
        <f>'Raw Data'!H7/'Raw Data'!H13</f>
        <v>0.13812636165577341</v>
      </c>
      <c r="I18" s="16">
        <f>'Raw Data'!I7/'Raw Data'!I13</f>
        <v>0.10242825607064018</v>
      </c>
      <c r="J18" s="16">
        <f>'Raw Data'!J7/'Raw Data'!J13</f>
        <v>0.17184684684684684</v>
      </c>
      <c r="K18" s="16">
        <f>'Raw Data'!K7/'Raw Data'!K13</f>
        <v>0.14334085778781039</v>
      </c>
      <c r="L18" s="16">
        <f>'Raw Data'!L7/'Raw Data'!L13</f>
        <v>0.13922413793103447</v>
      </c>
      <c r="M18" s="67">
        <f>'Raw Data'!M7/'Raw Data'!M13</f>
        <v>0.13311827956989247</v>
      </c>
    </row>
    <row r="19" spans="1:13" x14ac:dyDescent="0.35">
      <c r="A19" s="23" t="s">
        <v>26</v>
      </c>
      <c r="B19" s="38">
        <f>'Raw Data'!B3/'Raw Data'!B2</f>
        <v>0.36495785973865308</v>
      </c>
      <c r="C19" s="38">
        <f>'Raw Data'!C3/'Raw Data'!C2</f>
        <v>0.30438448566610454</v>
      </c>
      <c r="D19" s="38">
        <f>'Raw Data'!D3/'Raw Data'!D2</f>
        <v>0.29465776293823037</v>
      </c>
      <c r="E19" s="38">
        <f>'Raw Data'!E3/'Raw Data'!E2</f>
        <v>0.25401322001888577</v>
      </c>
      <c r="F19" s="38">
        <f>'Raw Data'!F3/'Raw Data'!F2</f>
        <v>0.32160392798690673</v>
      </c>
      <c r="G19" s="38">
        <f>'Raw Data'!G3/'Raw Data'!G2</f>
        <v>0.24862385321100919</v>
      </c>
      <c r="H19" s="38">
        <f>'Raw Data'!H3/'Raw Data'!H2</f>
        <v>0.2859560067681895</v>
      </c>
      <c r="I19" s="38">
        <f>'Raw Data'!I3/'Raw Data'!I2</f>
        <v>0.17932862190812721</v>
      </c>
      <c r="J19" s="38">
        <f>'Raw Data'!J3/'Raw Data'!J2</f>
        <v>0.30401125967628428</v>
      </c>
      <c r="K19" s="38">
        <f>'Raw Data'!K3/'Raw Data'!K2</f>
        <v>0.24980361351139041</v>
      </c>
      <c r="L19" s="38">
        <f>'Raw Data'!L3/'Raw Data'!L2</f>
        <v>0.23307086614173228</v>
      </c>
      <c r="M19" s="14">
        <f>'Raw Data'!M3/'Raw Data'!M2</f>
        <v>0.19754866618601297</v>
      </c>
    </row>
    <row r="20" spans="1:13" x14ac:dyDescent="0.35">
      <c r="A20" s="25" t="s">
        <v>27</v>
      </c>
      <c r="B20" s="18">
        <f>'Raw Data'!B5/'Raw Data'!B2</f>
        <v>0.24356297842727906</v>
      </c>
      <c r="C20" s="18">
        <f>'Raw Data'!C5/'Raw Data'!C2</f>
        <v>0.24114671163575041</v>
      </c>
      <c r="D20" s="18">
        <f>'Raw Data'!D5/'Raw Data'!D2</f>
        <v>0.22370617696160267</v>
      </c>
      <c r="E20" s="18">
        <f>'Raw Data'!E5/'Raw Data'!E2</f>
        <v>0.19546742209631729</v>
      </c>
      <c r="F20" s="18">
        <f>'Raw Data'!F5/'Raw Data'!F2</f>
        <v>0.24713584288052373</v>
      </c>
      <c r="G20" s="18">
        <f>'Raw Data'!G5/'Raw Data'!G2</f>
        <v>0.27247706422018347</v>
      </c>
      <c r="H20" s="18">
        <f>'Raw Data'!H5/'Raw Data'!H2</f>
        <v>0.25042301184433163</v>
      </c>
      <c r="I20" s="18">
        <f>'Raw Data'!I5/'Raw Data'!I2</f>
        <v>0.23056537102473498</v>
      </c>
      <c r="J20" s="18">
        <f>'Raw Data'!J5/'Raw Data'!J2</f>
        <v>0.23293455313159747</v>
      </c>
      <c r="K20" s="18">
        <f>'Raw Data'!K5/'Raw Data'!K2</f>
        <v>0.24901806755695208</v>
      </c>
      <c r="L20" s="18">
        <f>'Raw Data'!L5/'Raw Data'!L2</f>
        <v>0.27559055118110237</v>
      </c>
      <c r="M20" s="20">
        <f>'Raw Data'!M5/'Raw Data'!M2</f>
        <v>0.2487382840663302</v>
      </c>
    </row>
    <row r="23" spans="1:13" x14ac:dyDescent="0.35">
      <c r="B23" s="78" t="s">
        <v>38</v>
      </c>
      <c r="C23" s="78"/>
      <c r="D23" s="78"/>
      <c r="E23" s="78"/>
      <c r="F23" s="78"/>
    </row>
    <row r="24" spans="1:13" x14ac:dyDescent="0.35">
      <c r="B24" t="s">
        <v>42</v>
      </c>
      <c r="C24" t="s">
        <v>43</v>
      </c>
      <c r="D24" t="s">
        <v>44</v>
      </c>
    </row>
    <row r="25" spans="1:13" x14ac:dyDescent="0.35">
      <c r="A25" t="s">
        <v>46</v>
      </c>
      <c r="B25" s="1">
        <f>SUM('Raw Data'!B2:E2)</f>
        <v>47363</v>
      </c>
      <c r="C25" s="1">
        <f>SUM('Raw Data'!F2:I2)</f>
        <v>46260</v>
      </c>
      <c r="D25" s="1">
        <f>SUM('Raw Data'!J2:M2)</f>
        <v>53510</v>
      </c>
    </row>
    <row r="26" spans="1:13" x14ac:dyDescent="0.35">
      <c r="A26" t="s">
        <v>36</v>
      </c>
      <c r="B26" s="1">
        <f>SUM('Raw Data'!B7:E7)</f>
        <v>25310</v>
      </c>
      <c r="C26" s="1">
        <f>SUM('Raw Data'!F7:I7)</f>
        <v>23610</v>
      </c>
      <c r="D26" s="1">
        <f>SUM('Raw Data'!J7:M7)</f>
        <v>26630</v>
      </c>
    </row>
    <row r="27" spans="1:13" x14ac:dyDescent="0.35">
      <c r="A27" t="s">
        <v>39</v>
      </c>
      <c r="B27">
        <f>SUM('Raw Data'!B10:E10)</f>
        <v>17852</v>
      </c>
      <c r="C27" s="1">
        <f>SUM('Raw Data'!F10:I10)</f>
        <v>18040</v>
      </c>
      <c r="D27" s="1">
        <f>SUM('Raw Data'!J10:M10)</f>
        <v>19989</v>
      </c>
    </row>
    <row r="28" spans="1:13" x14ac:dyDescent="0.35">
      <c r="A28" t="s">
        <v>40</v>
      </c>
      <c r="B28" s="1">
        <f>SUM('Raw Data'!B11:E11)</f>
        <v>13486</v>
      </c>
      <c r="C28" s="1">
        <f>SUM('Raw Data'!F11:I11)</f>
        <v>10739</v>
      </c>
      <c r="D28" s="1">
        <f>SUM('Raw Data'!J11:M11)</f>
        <v>18397</v>
      </c>
    </row>
    <row r="29" spans="1:13" x14ac:dyDescent="0.35">
      <c r="A29" t="s">
        <v>41</v>
      </c>
      <c r="B29" s="4">
        <f>B28/B25</f>
        <v>0.2847370310157718</v>
      </c>
      <c r="C29" s="4">
        <f t="shared" ref="C29:D29" si="2">C28/C25</f>
        <v>0.23214440121054908</v>
      </c>
      <c r="D29" s="4">
        <f t="shared" si="2"/>
        <v>0.34380489628106897</v>
      </c>
    </row>
  </sheetData>
  <mergeCells count="2">
    <mergeCell ref="A1:H1"/>
    <mergeCell ref="B23:F23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E236-02B9-42DC-B02C-2831BA45EA2B}">
  <dimension ref="A2:G26"/>
  <sheetViews>
    <sheetView zoomScale="90" workbookViewId="0">
      <selection activeCell="E25" sqref="E25"/>
    </sheetView>
  </sheetViews>
  <sheetFormatPr defaultRowHeight="14.5" x14ac:dyDescent="0.35"/>
  <cols>
    <col min="1" max="1" width="19.26953125" bestFit="1" customWidth="1"/>
    <col min="2" max="2" width="9.81640625" customWidth="1"/>
    <col min="3" max="3" width="9.453125" customWidth="1"/>
    <col min="4" max="4" width="10.08984375" bestFit="1" customWidth="1"/>
    <col min="5" max="5" width="10.54296875" bestFit="1" customWidth="1"/>
  </cols>
  <sheetData>
    <row r="2" spans="1:6" x14ac:dyDescent="0.35">
      <c r="B2" s="77" t="s">
        <v>47</v>
      </c>
      <c r="C2" s="77"/>
      <c r="D2" s="77"/>
      <c r="E2" s="77"/>
      <c r="F2" s="77"/>
    </row>
    <row r="4" spans="1:6" x14ac:dyDescent="0.35">
      <c r="A4" s="10" t="s">
        <v>58</v>
      </c>
      <c r="B4" s="11" t="s">
        <v>9</v>
      </c>
      <c r="C4" s="11" t="s">
        <v>3</v>
      </c>
      <c r="D4" s="11" t="s">
        <v>48</v>
      </c>
      <c r="E4" s="12" t="s">
        <v>49</v>
      </c>
    </row>
    <row r="5" spans="1:6" x14ac:dyDescent="0.35">
      <c r="A5" s="13" t="s">
        <v>20</v>
      </c>
      <c r="B5" s="1">
        <f>'Raw Data'!J3</f>
        <v>4320</v>
      </c>
      <c r="C5" s="1">
        <f>'Raw Data'!F3</f>
        <v>3930</v>
      </c>
      <c r="D5" s="1">
        <f>B5-C5</f>
        <v>390</v>
      </c>
      <c r="E5" s="14">
        <f>(B5-C5)/B5</f>
        <v>9.0277777777777776E-2</v>
      </c>
    </row>
    <row r="6" spans="1:6" x14ac:dyDescent="0.35">
      <c r="A6" s="13" t="s">
        <v>21</v>
      </c>
      <c r="B6" s="1">
        <f>'Raw Data'!J5</f>
        <v>3310</v>
      </c>
      <c r="C6" s="1">
        <f>'Raw Data'!F5</f>
        <v>3020</v>
      </c>
      <c r="D6" s="1">
        <f t="shared" ref="D6:D15" si="0">B6-C6</f>
        <v>290</v>
      </c>
      <c r="E6" s="14">
        <f t="shared" ref="E6:E15" si="1">(B6-C6)/B6</f>
        <v>8.7613293051359523E-2</v>
      </c>
    </row>
    <row r="7" spans="1:6" x14ac:dyDescent="0.35">
      <c r="A7" s="13" t="s">
        <v>50</v>
      </c>
      <c r="B7" s="1">
        <f>'P&amp;L Model'!J6</f>
        <v>7630</v>
      </c>
      <c r="C7" s="1">
        <f>'P&amp;L Model'!F6</f>
        <v>6950</v>
      </c>
      <c r="D7" s="1">
        <f t="shared" si="0"/>
        <v>680</v>
      </c>
      <c r="E7" s="14">
        <f t="shared" si="1"/>
        <v>8.9121887287024901E-2</v>
      </c>
    </row>
    <row r="8" spans="1:6" x14ac:dyDescent="0.35">
      <c r="A8" s="13" t="s">
        <v>51</v>
      </c>
      <c r="B8" s="1">
        <f>'Raw Data'!J10</f>
        <v>5126</v>
      </c>
      <c r="C8" s="1">
        <f>'Raw Data'!F10</f>
        <v>4395</v>
      </c>
      <c r="D8" s="1">
        <f t="shared" si="0"/>
        <v>731</v>
      </c>
      <c r="E8" s="14">
        <f t="shared" si="1"/>
        <v>0.14260632071790871</v>
      </c>
    </row>
    <row r="9" spans="1:6" x14ac:dyDescent="0.35">
      <c r="A9" s="13" t="s">
        <v>52</v>
      </c>
      <c r="B9" s="1">
        <f>'Raw Data'!J8</f>
        <v>2419.4719999999998</v>
      </c>
      <c r="C9" s="1">
        <f>'Raw Data'!F8</f>
        <v>2087.625</v>
      </c>
      <c r="D9" s="1">
        <f t="shared" si="0"/>
        <v>331.84699999999975</v>
      </c>
      <c r="E9" s="14">
        <f t="shared" si="1"/>
        <v>0.13715678462077668</v>
      </c>
    </row>
    <row r="10" spans="1:6" x14ac:dyDescent="0.35">
      <c r="A10" s="13" t="s">
        <v>53</v>
      </c>
      <c r="B10" s="1">
        <f>'Raw Data'!J9</f>
        <v>2706.5280000000002</v>
      </c>
      <c r="C10" s="1">
        <f>'Raw Data'!F9</f>
        <v>2307.375</v>
      </c>
      <c r="D10" s="1">
        <f t="shared" si="0"/>
        <v>399.15300000000025</v>
      </c>
      <c r="E10" s="14">
        <f t="shared" si="1"/>
        <v>0.14747787571382975</v>
      </c>
    </row>
    <row r="11" spans="1:6" x14ac:dyDescent="0.35">
      <c r="A11" s="13" t="s">
        <v>54</v>
      </c>
      <c r="B11" s="1">
        <v>5237</v>
      </c>
      <c r="C11" s="1">
        <v>3993</v>
      </c>
      <c r="D11" s="1">
        <f t="shared" si="0"/>
        <v>1244</v>
      </c>
      <c r="E11" s="14">
        <f t="shared" si="1"/>
        <v>0.23754057666603018</v>
      </c>
    </row>
    <row r="12" spans="1:6" x14ac:dyDescent="0.35">
      <c r="A12" s="13" t="s">
        <v>15</v>
      </c>
      <c r="B12" s="15">
        <v>0.37</v>
      </c>
      <c r="C12" s="15">
        <v>0.33</v>
      </c>
      <c r="D12" s="1">
        <f t="shared" si="0"/>
        <v>3.999999999999998E-2</v>
      </c>
      <c r="E12" s="14">
        <f t="shared" si="1"/>
        <v>0.10810810810810806</v>
      </c>
    </row>
    <row r="13" spans="1:6" x14ac:dyDescent="0.35">
      <c r="A13" s="13" t="s">
        <v>55</v>
      </c>
      <c r="B13" s="1">
        <v>44400</v>
      </c>
      <c r="C13" s="1">
        <v>45400</v>
      </c>
      <c r="D13" s="1">
        <f t="shared" si="0"/>
        <v>-1000</v>
      </c>
      <c r="E13" s="14">
        <f t="shared" si="1"/>
        <v>-2.2522522522522521E-2</v>
      </c>
    </row>
    <row r="14" spans="1:6" x14ac:dyDescent="0.35">
      <c r="A14" s="13" t="s">
        <v>56</v>
      </c>
      <c r="B14" s="16">
        <f>'Raw Data'!B2/'Raw Data'!B8</f>
        <v>6.0330270093763128</v>
      </c>
      <c r="C14" s="16">
        <f>'Raw Data'!C2/'Raw Data'!C8</f>
        <v>5.5779215892843714</v>
      </c>
      <c r="D14" s="1">
        <f t="shared" si="0"/>
        <v>0.45510542009194133</v>
      </c>
      <c r="E14" s="14">
        <f t="shared" si="1"/>
        <v>7.5435667598476336E-2</v>
      </c>
    </row>
    <row r="15" spans="1:6" x14ac:dyDescent="0.35">
      <c r="A15" s="17" t="s">
        <v>57</v>
      </c>
      <c r="B15" s="18">
        <f>B9/B7</f>
        <v>0.31709986893840103</v>
      </c>
      <c r="C15" s="18">
        <f>C9/C7</f>
        <v>0.30037769784172663</v>
      </c>
      <c r="D15" s="19">
        <f t="shared" si="0"/>
        <v>1.6722171096674399E-2</v>
      </c>
      <c r="E15" s="20">
        <f t="shared" si="1"/>
        <v>5.2734714626838278E-2</v>
      </c>
    </row>
    <row r="16" spans="1:6" x14ac:dyDescent="0.35">
      <c r="A16" s="2"/>
      <c r="B16" s="4"/>
      <c r="C16" s="4"/>
      <c r="D16" s="1"/>
      <c r="E16" s="4"/>
    </row>
    <row r="18" spans="2:7" x14ac:dyDescent="0.35">
      <c r="D18" s="77" t="s">
        <v>59</v>
      </c>
      <c r="E18" s="78"/>
    </row>
    <row r="20" spans="2:7" ht="61.5" customHeight="1" x14ac:dyDescent="0.35">
      <c r="B20" s="79" t="s">
        <v>117</v>
      </c>
      <c r="C20" s="80"/>
      <c r="D20" s="80"/>
      <c r="E20" s="80"/>
      <c r="F20" s="80"/>
      <c r="G20" s="81"/>
    </row>
    <row r="21" spans="2:7" ht="14.5" customHeight="1" x14ac:dyDescent="0.35">
      <c r="B21" s="9"/>
      <c r="C21" s="9"/>
      <c r="D21" s="9"/>
      <c r="E21" s="9"/>
      <c r="F21" s="9"/>
      <c r="G21" s="5"/>
    </row>
    <row r="22" spans="2:7" ht="14.5" customHeight="1" x14ac:dyDescent="0.35">
      <c r="B22" s="9"/>
      <c r="C22" s="9"/>
      <c r="D22" s="9"/>
      <c r="E22" s="9"/>
      <c r="F22" s="9"/>
      <c r="G22" s="5"/>
    </row>
    <row r="23" spans="2:7" ht="14.5" customHeight="1" x14ac:dyDescent="0.35">
      <c r="B23" s="9"/>
      <c r="C23" s="9"/>
      <c r="D23" s="9"/>
      <c r="E23" s="9"/>
      <c r="F23" s="9"/>
      <c r="G23" s="5"/>
    </row>
    <row r="24" spans="2:7" ht="14.5" customHeight="1" x14ac:dyDescent="0.35">
      <c r="B24" s="5"/>
      <c r="C24" s="5"/>
      <c r="D24" s="5"/>
      <c r="E24" s="5"/>
      <c r="F24" s="5"/>
      <c r="G24" s="5"/>
    </row>
    <row r="25" spans="2:7" ht="14.5" customHeight="1" x14ac:dyDescent="0.35">
      <c r="B25" s="5"/>
      <c r="C25" s="5"/>
      <c r="D25" s="5"/>
      <c r="E25" s="5"/>
      <c r="F25" s="5"/>
      <c r="G25" s="5"/>
    </row>
    <row r="26" spans="2:7" ht="14.5" customHeight="1" x14ac:dyDescent="0.35"/>
  </sheetData>
  <mergeCells count="3">
    <mergeCell ref="D18:E18"/>
    <mergeCell ref="B2:F2"/>
    <mergeCell ref="B20:G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8021-CDE3-4F60-AFA9-81D57EFE8ACE}">
  <dimension ref="B1:O22"/>
  <sheetViews>
    <sheetView zoomScale="82" workbookViewId="0">
      <selection activeCell="B13" sqref="B13:J13"/>
    </sheetView>
  </sheetViews>
  <sheetFormatPr defaultRowHeight="14.5" x14ac:dyDescent="0.35"/>
  <cols>
    <col min="2" max="2" width="21.54296875" customWidth="1"/>
    <col min="5" max="6" width="9.81640625" bestFit="1" customWidth="1"/>
    <col min="12" max="12" width="21.90625" bestFit="1" customWidth="1"/>
    <col min="13" max="13" width="16.26953125" bestFit="1" customWidth="1"/>
    <col min="14" max="14" width="13.26953125" bestFit="1" customWidth="1"/>
    <col min="15" max="15" width="12.90625" bestFit="1" customWidth="1"/>
  </cols>
  <sheetData>
    <row r="1" spans="2:15" x14ac:dyDescent="0.35">
      <c r="B1" s="77" t="s">
        <v>104</v>
      </c>
      <c r="C1" s="78"/>
      <c r="D1" s="78"/>
    </row>
    <row r="3" spans="2:15" x14ac:dyDescent="0.35">
      <c r="B3" s="21"/>
      <c r="C3" s="57" t="s">
        <v>3</v>
      </c>
      <c r="D3" s="57" t="s">
        <v>6</v>
      </c>
      <c r="E3" s="57" t="s">
        <v>7</v>
      </c>
      <c r="F3" s="57" t="s">
        <v>8</v>
      </c>
      <c r="G3" s="57" t="s">
        <v>9</v>
      </c>
      <c r="H3" s="57" t="s">
        <v>10</v>
      </c>
      <c r="I3" s="57" t="s">
        <v>11</v>
      </c>
      <c r="J3" s="58" t="s">
        <v>12</v>
      </c>
      <c r="K3" s="2"/>
      <c r="L3" s="64"/>
      <c r="M3" s="10" t="s">
        <v>111</v>
      </c>
      <c r="N3" s="11" t="s">
        <v>112</v>
      </c>
      <c r="O3" s="12" t="s">
        <v>113</v>
      </c>
    </row>
    <row r="4" spans="2:15" x14ac:dyDescent="0.35">
      <c r="B4" s="65" t="s">
        <v>101</v>
      </c>
      <c r="C4">
        <v>19.600000000000001</v>
      </c>
      <c r="D4">
        <v>15.77</v>
      </c>
      <c r="E4">
        <v>14.91</v>
      </c>
      <c r="F4">
        <v>14.5</v>
      </c>
      <c r="G4">
        <v>13.59</v>
      </c>
      <c r="H4">
        <v>13.67</v>
      </c>
      <c r="I4">
        <v>16.03</v>
      </c>
      <c r="J4" s="24">
        <v>18.010000000000002</v>
      </c>
      <c r="L4" s="65" t="s">
        <v>101</v>
      </c>
      <c r="M4" s="23">
        <f>AVERAGE(C4:J4)</f>
        <v>15.760000000000002</v>
      </c>
      <c r="N4">
        <f>MAX(C4:J4)</f>
        <v>19.600000000000001</v>
      </c>
      <c r="O4" s="24">
        <f>MIN(C4:J4)</f>
        <v>13.59</v>
      </c>
    </row>
    <row r="5" spans="2:15" x14ac:dyDescent="0.35">
      <c r="B5" s="65" t="s">
        <v>102</v>
      </c>
      <c r="C5" s="36">
        <v>8.0000000000000002E-3</v>
      </c>
      <c r="D5" s="36">
        <v>6.7400000000000002E-2</v>
      </c>
      <c r="E5" s="36">
        <v>6.5600000000000006E-2</v>
      </c>
      <c r="F5" s="36">
        <v>0.13730000000000001</v>
      </c>
      <c r="G5" s="36">
        <v>8.4400000000000003E-2</v>
      </c>
      <c r="H5" s="36">
        <v>8.4400000000000003E-2</v>
      </c>
      <c r="I5" s="36">
        <v>4.3499999999999997E-2</v>
      </c>
      <c r="J5" s="61">
        <v>3.09E-2</v>
      </c>
      <c r="K5" s="36"/>
      <c r="L5" s="65" t="s">
        <v>102</v>
      </c>
      <c r="M5" s="54">
        <f t="shared" ref="M5:M8" si="0">AVERAGE(C5:J5)</f>
        <v>6.5187500000000009E-2</v>
      </c>
      <c r="N5" s="39">
        <f t="shared" ref="N5:N8" si="1">MAX(C5:J5)</f>
        <v>0.13730000000000001</v>
      </c>
      <c r="O5" s="55">
        <f t="shared" ref="O5:O8" si="2">MIN(C5:J5)</f>
        <v>8.0000000000000002E-3</v>
      </c>
    </row>
    <row r="6" spans="2:15" x14ac:dyDescent="0.35">
      <c r="B6" s="65" t="s">
        <v>64</v>
      </c>
      <c r="C6" s="36">
        <v>4.8099999999999997E-2</v>
      </c>
      <c r="D6" s="36">
        <v>5.3100000000000001E-2</v>
      </c>
      <c r="E6" s="36">
        <v>5.3100000000000001E-2</v>
      </c>
      <c r="F6" s="36">
        <v>5.3100000000000001E-2</v>
      </c>
      <c r="G6" s="36">
        <v>5.3100000000000001E-2</v>
      </c>
      <c r="H6" s="36">
        <v>5.3100000000000001E-2</v>
      </c>
      <c r="I6" s="36">
        <v>4.8099999999999997E-2</v>
      </c>
      <c r="J6" s="61">
        <v>4.3299999999999998E-2</v>
      </c>
      <c r="K6" s="36"/>
      <c r="L6" s="65" t="s">
        <v>64</v>
      </c>
      <c r="M6" s="54">
        <f t="shared" si="0"/>
        <v>5.0624999999999996E-2</v>
      </c>
      <c r="N6" s="39">
        <f t="shared" si="1"/>
        <v>5.3100000000000001E-2</v>
      </c>
      <c r="O6" s="55">
        <f t="shared" si="2"/>
        <v>4.3299999999999998E-2</v>
      </c>
    </row>
    <row r="7" spans="2:15" x14ac:dyDescent="0.35">
      <c r="B7" s="65" t="s">
        <v>65</v>
      </c>
      <c r="C7" s="36">
        <v>3.4799999999999998E-2</v>
      </c>
      <c r="D7" s="36">
        <v>3.8100000000000002E-2</v>
      </c>
      <c r="E7" s="36">
        <v>4.5900000000000003E-2</v>
      </c>
      <c r="F7" s="36">
        <v>3.8800000000000001E-2</v>
      </c>
      <c r="G7" s="36">
        <v>4.2000000000000003E-2</v>
      </c>
      <c r="H7" s="36">
        <v>4.36E-2</v>
      </c>
      <c r="I7" s="36">
        <v>3.8100000000000002E-2</v>
      </c>
      <c r="J7" s="61">
        <v>4.58E-2</v>
      </c>
      <c r="K7" s="36"/>
      <c r="L7" s="65" t="s">
        <v>65</v>
      </c>
      <c r="M7" s="54">
        <f t="shared" si="0"/>
        <v>4.08875E-2</v>
      </c>
      <c r="N7" s="39">
        <f t="shared" si="1"/>
        <v>4.5900000000000003E-2</v>
      </c>
      <c r="O7" s="55">
        <f t="shared" si="2"/>
        <v>3.4799999999999998E-2</v>
      </c>
    </row>
    <row r="8" spans="2:15" x14ac:dyDescent="0.35">
      <c r="B8" s="66" t="s">
        <v>103</v>
      </c>
      <c r="C8" s="62">
        <v>149</v>
      </c>
      <c r="D8" s="62">
        <v>129</v>
      </c>
      <c r="E8" s="62">
        <v>125</v>
      </c>
      <c r="F8" s="62">
        <v>104</v>
      </c>
      <c r="G8" s="62">
        <v>94</v>
      </c>
      <c r="H8" s="62">
        <v>96</v>
      </c>
      <c r="I8" s="62">
        <v>92</v>
      </c>
      <c r="J8" s="63">
        <v>82</v>
      </c>
      <c r="K8" s="37"/>
      <c r="L8" s="66" t="s">
        <v>103</v>
      </c>
      <c r="M8" s="25">
        <f t="shared" si="0"/>
        <v>108.875</v>
      </c>
      <c r="N8" s="26">
        <f t="shared" si="1"/>
        <v>149</v>
      </c>
      <c r="O8" s="27">
        <f t="shared" si="2"/>
        <v>82</v>
      </c>
    </row>
    <row r="11" spans="2:15" x14ac:dyDescent="0.35">
      <c r="B11" s="77" t="s">
        <v>105</v>
      </c>
      <c r="C11" s="77"/>
      <c r="D11" s="77"/>
    </row>
    <row r="12" spans="2:15" x14ac:dyDescent="0.35">
      <c r="B12" s="5"/>
      <c r="C12" s="5"/>
      <c r="D12" s="5"/>
    </row>
    <row r="13" spans="2:15" x14ac:dyDescent="0.35">
      <c r="B13" s="21"/>
      <c r="C13" s="57" t="s">
        <v>3</v>
      </c>
      <c r="D13" s="57" t="s">
        <v>6</v>
      </c>
      <c r="E13" s="57" t="s">
        <v>7</v>
      </c>
      <c r="F13" s="57" t="s">
        <v>8</v>
      </c>
      <c r="G13" s="57" t="s">
        <v>9</v>
      </c>
      <c r="H13" s="57" t="s">
        <v>10</v>
      </c>
      <c r="I13" s="57" t="s">
        <v>11</v>
      </c>
      <c r="J13" s="58" t="s">
        <v>12</v>
      </c>
      <c r="K13" s="2"/>
    </row>
    <row r="14" spans="2:15" x14ac:dyDescent="0.35">
      <c r="B14" s="23" t="s">
        <v>106</v>
      </c>
      <c r="C14" s="1">
        <f>'Raw Data'!F3</f>
        <v>3930</v>
      </c>
      <c r="D14" s="1">
        <f>'Raw Data'!G3</f>
        <v>2710</v>
      </c>
      <c r="E14" s="1">
        <f>'Raw Data'!H3</f>
        <v>3380</v>
      </c>
      <c r="F14" s="1">
        <f>'Raw Data'!I3</f>
        <v>2030</v>
      </c>
      <c r="G14" s="1">
        <f>'Raw Data'!J3</f>
        <v>4320</v>
      </c>
      <c r="H14" s="1">
        <f>'Raw Data'!K3</f>
        <v>3180</v>
      </c>
      <c r="I14" s="1">
        <f>'Raw Data'!L3</f>
        <v>2960</v>
      </c>
      <c r="J14" s="59">
        <f>'Raw Data'!M3</f>
        <v>2740</v>
      </c>
      <c r="K14" s="1"/>
      <c r="M14" s="1"/>
      <c r="N14" s="1"/>
      <c r="O14" s="1"/>
    </row>
    <row r="15" spans="2:15" x14ac:dyDescent="0.35">
      <c r="B15" s="23" t="s">
        <v>107</v>
      </c>
      <c r="C15" s="1">
        <f>'Raw Data'!F5</f>
        <v>3020</v>
      </c>
      <c r="D15" s="1">
        <f>'Raw Data'!G5</f>
        <v>2970</v>
      </c>
      <c r="E15" s="1">
        <f>'Raw Data'!H5</f>
        <v>2960</v>
      </c>
      <c r="F15" s="1">
        <f>'Raw Data'!I5</f>
        <v>2610</v>
      </c>
      <c r="G15" s="1">
        <f>'Raw Data'!J5</f>
        <v>3310</v>
      </c>
      <c r="H15" s="1">
        <f>'Raw Data'!K5</f>
        <v>3170</v>
      </c>
      <c r="I15" s="1">
        <f>'Raw Data'!L5</f>
        <v>3500</v>
      </c>
      <c r="J15" s="59">
        <f>'Raw Data'!M5</f>
        <v>3450</v>
      </c>
      <c r="K15" s="1"/>
      <c r="L15" s="21"/>
      <c r="M15" s="11" t="s">
        <v>61</v>
      </c>
      <c r="N15" s="11" t="s">
        <v>62</v>
      </c>
      <c r="O15" s="12" t="s">
        <v>63</v>
      </c>
    </row>
    <row r="16" spans="2:15" x14ac:dyDescent="0.35">
      <c r="B16" s="23" t="s">
        <v>108</v>
      </c>
      <c r="D16" s="38"/>
      <c r="E16" s="38"/>
      <c r="F16" s="38"/>
      <c r="G16" s="38">
        <f t="shared" ref="G16:J17" si="3">(G14-C14)/G14</f>
        <v>9.0277777777777776E-2</v>
      </c>
      <c r="H16" s="38">
        <f t="shared" si="3"/>
        <v>0.14779874213836477</v>
      </c>
      <c r="I16" s="38">
        <f t="shared" si="3"/>
        <v>-0.14189189189189189</v>
      </c>
      <c r="J16" s="14">
        <f t="shared" si="3"/>
        <v>0.25912408759124089</v>
      </c>
      <c r="K16" s="4"/>
      <c r="L16" s="23" t="s">
        <v>108</v>
      </c>
      <c r="M16" s="15">
        <f>AVERAGE(G16:J16)</f>
        <v>8.8827178903872886E-2</v>
      </c>
      <c r="N16" s="15">
        <v>0.26</v>
      </c>
      <c r="O16" s="46">
        <v>-0.14000000000000001</v>
      </c>
    </row>
    <row r="17" spans="2:15" x14ac:dyDescent="0.35">
      <c r="B17" s="23" t="s">
        <v>109</v>
      </c>
      <c r="D17" s="38"/>
      <c r="E17" s="38"/>
      <c r="F17" s="38"/>
      <c r="G17" s="38">
        <f t="shared" si="3"/>
        <v>8.7613293051359523E-2</v>
      </c>
      <c r="H17" s="38">
        <f t="shared" si="3"/>
        <v>6.3091482649842268E-2</v>
      </c>
      <c r="I17" s="38">
        <f t="shared" si="3"/>
        <v>0.15428571428571428</v>
      </c>
      <c r="J17" s="14">
        <f t="shared" si="3"/>
        <v>0.24347826086956523</v>
      </c>
      <c r="K17" s="4"/>
      <c r="L17" s="23" t="s">
        <v>109</v>
      </c>
      <c r="M17" s="15">
        <f t="shared" ref="M17:M19" si="4">AVERAGE(G17:J17)</f>
        <v>0.13711718771412032</v>
      </c>
      <c r="N17" s="15">
        <v>0.24</v>
      </c>
      <c r="O17" s="46">
        <v>0.06</v>
      </c>
    </row>
    <row r="18" spans="2:15" x14ac:dyDescent="0.35">
      <c r="B18" s="23" t="s">
        <v>114</v>
      </c>
      <c r="D18" s="38"/>
      <c r="E18" s="38"/>
      <c r="F18" s="38"/>
      <c r="G18" s="38">
        <f>(G21-C21)/G21</f>
        <v>-2.2522522522522521E-2</v>
      </c>
      <c r="H18" s="38">
        <f t="shared" ref="H18:J18" si="5">(H21-D21)/H21</f>
        <v>-6.7720090293453723E-3</v>
      </c>
      <c r="I18" s="38">
        <f t="shared" si="5"/>
        <v>1.0775862068965518E-2</v>
      </c>
      <c r="J18" s="14">
        <f t="shared" si="5"/>
        <v>2.5806451612903226E-2</v>
      </c>
      <c r="K18" s="4"/>
      <c r="L18" s="23" t="s">
        <v>114</v>
      </c>
      <c r="M18" s="15">
        <f t="shared" si="4"/>
        <v>1.8219455325002125E-3</v>
      </c>
      <c r="N18" s="15">
        <v>0.03</v>
      </c>
      <c r="O18" s="46">
        <v>-0.02</v>
      </c>
    </row>
    <row r="19" spans="2:15" x14ac:dyDescent="0.35">
      <c r="B19" s="23" t="s">
        <v>110</v>
      </c>
      <c r="D19" s="38"/>
      <c r="E19" s="38"/>
      <c r="F19" s="38"/>
      <c r="G19" s="38">
        <f>(G22-C22)/G22</f>
        <v>0.14747787571382975</v>
      </c>
      <c r="H19" s="38">
        <f>(H22-D22)/H22</f>
        <v>0.12025184031964882</v>
      </c>
      <c r="I19" s="38">
        <f>(I22-E22)/I22</f>
        <v>4.3256621476857215E-2</v>
      </c>
      <c r="J19" s="14">
        <f>(J22-F22)/J22</f>
        <v>9.7183491355270518E-2</v>
      </c>
      <c r="K19" s="4"/>
      <c r="L19" s="23" t="s">
        <v>110</v>
      </c>
      <c r="M19" s="15">
        <f t="shared" si="4"/>
        <v>0.10204245721640157</v>
      </c>
      <c r="N19" s="15">
        <v>0.04</v>
      </c>
      <c r="O19" s="46">
        <v>0.15</v>
      </c>
    </row>
    <row r="20" spans="2:15" x14ac:dyDescent="0.35">
      <c r="B20" s="23" t="s">
        <v>24</v>
      </c>
      <c r="C20" s="15">
        <f>'P&amp;L Model'!F17</f>
        <v>0.30037769784172663</v>
      </c>
      <c r="D20" s="15">
        <f>'P&amp;L Model'!G17</f>
        <v>0.3737279929577465</v>
      </c>
      <c r="E20" s="15">
        <f>'P&amp;L Model'!H17</f>
        <v>0.35482649842271291</v>
      </c>
      <c r="F20" s="15">
        <f>'P&amp;L Model'!I17</f>
        <v>0.4545258620689655</v>
      </c>
      <c r="G20" s="15">
        <f>'P&amp;L Model'!J17</f>
        <v>0.31709986893840103</v>
      </c>
      <c r="H20" s="15">
        <f>'P&amp;L Model'!K17</f>
        <v>0.37544440944881885</v>
      </c>
      <c r="I20" s="15">
        <f>'P&amp;L Model'!L17</f>
        <v>0.3596260061919504</v>
      </c>
      <c r="J20" s="46">
        <f>'P&amp;L Model'!M17</f>
        <v>0.3728723747980614</v>
      </c>
      <c r="K20" s="15"/>
      <c r="L20" s="25" t="s">
        <v>116</v>
      </c>
      <c r="M20" s="41">
        <f>AVERAGE(C20:J20)</f>
        <v>0.36356258883354792</v>
      </c>
      <c r="N20" s="41">
        <v>0.3</v>
      </c>
      <c r="O20" s="56">
        <v>0.45</v>
      </c>
    </row>
    <row r="21" spans="2:15" x14ac:dyDescent="0.35">
      <c r="B21" s="23" t="s">
        <v>55</v>
      </c>
      <c r="C21" s="1">
        <f>'Raw Data'!F13</f>
        <v>45400</v>
      </c>
      <c r="D21" s="1">
        <f>'Raw Data'!G13</f>
        <v>44600</v>
      </c>
      <c r="E21" s="1">
        <f>'Raw Data'!H13</f>
        <v>45900</v>
      </c>
      <c r="F21" s="1">
        <f>'Raw Data'!I13</f>
        <v>45300</v>
      </c>
      <c r="G21" s="1">
        <f>'Raw Data'!J13</f>
        <v>44400</v>
      </c>
      <c r="H21" s="1">
        <f>'Raw Data'!K13</f>
        <v>44300</v>
      </c>
      <c r="I21" s="1">
        <f>'Raw Data'!L13</f>
        <v>46400</v>
      </c>
      <c r="J21" s="59">
        <f>'Raw Data'!M13</f>
        <v>46500</v>
      </c>
      <c r="K21" s="1"/>
      <c r="M21" s="1"/>
      <c r="N21" s="1"/>
      <c r="O21" s="1"/>
    </row>
    <row r="22" spans="2:15" x14ac:dyDescent="0.35">
      <c r="B22" s="25" t="s">
        <v>115</v>
      </c>
      <c r="C22" s="19">
        <f>'P&amp;L Model'!F11</f>
        <v>2307.375</v>
      </c>
      <c r="D22" s="19">
        <f>'P&amp;L Model'!G11</f>
        <v>2346.2249999999999</v>
      </c>
      <c r="E22" s="19">
        <f>'P&amp;L Model'!H11</f>
        <v>2486.4</v>
      </c>
      <c r="F22" s="19">
        <f>'P&amp;L Model'!I11</f>
        <v>2331</v>
      </c>
      <c r="G22" s="19">
        <f>'P&amp;L Model'!J11</f>
        <v>2706.5280000000002</v>
      </c>
      <c r="H22" s="19">
        <f>'P&amp;L Model'!K11</f>
        <v>2666.9280000000003</v>
      </c>
      <c r="I22" s="19">
        <f>'P&amp;L Model'!L11</f>
        <v>2598.8160000000003</v>
      </c>
      <c r="J22" s="60">
        <f>'P&amp;L Model'!M11</f>
        <v>2581.92</v>
      </c>
      <c r="K22" s="1"/>
    </row>
  </sheetData>
  <mergeCells count="2">
    <mergeCell ref="B1:D1"/>
    <mergeCell ref="B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F10A-B01B-40C4-87AD-154911D56885}">
  <dimension ref="B2:J9"/>
  <sheetViews>
    <sheetView topLeftCell="C1" workbookViewId="0">
      <selection activeCell="F15" sqref="F15"/>
    </sheetView>
  </sheetViews>
  <sheetFormatPr defaultRowHeight="14.5" x14ac:dyDescent="0.35"/>
  <cols>
    <col min="1" max="1" width="9.36328125" customWidth="1"/>
    <col min="2" max="2" width="27.90625" bestFit="1" customWidth="1"/>
    <col min="6" max="6" width="9.36328125" customWidth="1"/>
    <col min="7" max="7" width="27.08984375" bestFit="1" customWidth="1"/>
  </cols>
  <sheetData>
    <row r="2" spans="2:10" x14ac:dyDescent="0.35">
      <c r="B2" s="77" t="s">
        <v>60</v>
      </c>
      <c r="C2" s="78"/>
      <c r="D2" s="78"/>
      <c r="G2" s="77" t="s">
        <v>66</v>
      </c>
      <c r="H2" s="78"/>
      <c r="I2" s="78"/>
    </row>
    <row r="4" spans="2:10" x14ac:dyDescent="0.35">
      <c r="B4" s="21"/>
      <c r="C4" s="11" t="s">
        <v>61</v>
      </c>
      <c r="D4" s="11" t="s">
        <v>62</v>
      </c>
      <c r="E4" s="12" t="s">
        <v>63</v>
      </c>
      <c r="G4" s="21"/>
      <c r="H4" s="11" t="s">
        <v>61</v>
      </c>
      <c r="I4" s="11" t="s">
        <v>62</v>
      </c>
      <c r="J4" s="12" t="s">
        <v>63</v>
      </c>
    </row>
    <row r="5" spans="2:10" x14ac:dyDescent="0.35">
      <c r="B5" s="13" t="s">
        <v>101</v>
      </c>
      <c r="C5">
        <f>'Assumptions Page 1'!M4</f>
        <v>15.760000000000002</v>
      </c>
      <c r="D5">
        <f>'Assumptions Page 1'!N4</f>
        <v>19.600000000000001</v>
      </c>
      <c r="E5" s="24">
        <f>'Assumptions Page 1'!O4</f>
        <v>13.59</v>
      </c>
      <c r="G5" s="13" t="s">
        <v>67</v>
      </c>
      <c r="H5" s="15">
        <f>'Assumptions Page 1'!M16</f>
        <v>8.8827178903872886E-2</v>
      </c>
      <c r="I5" s="15">
        <f>'Assumptions Page 1'!N16</f>
        <v>0.26</v>
      </c>
      <c r="J5" s="51">
        <f>'Assumptions Page 1'!O16</f>
        <v>-0.14000000000000001</v>
      </c>
    </row>
    <row r="6" spans="2:10" x14ac:dyDescent="0.35">
      <c r="B6" s="13" t="s">
        <v>102</v>
      </c>
      <c r="C6" s="39">
        <f>'Assumptions Page 1'!M5</f>
        <v>6.5187500000000009E-2</v>
      </c>
      <c r="D6" s="39">
        <f>'Assumptions Page 1'!N5</f>
        <v>0.13730000000000001</v>
      </c>
      <c r="E6" s="55">
        <f>'Assumptions Page 1'!O5</f>
        <v>8.0000000000000002E-3</v>
      </c>
      <c r="G6" s="13" t="s">
        <v>68</v>
      </c>
      <c r="H6" s="15">
        <f>'Assumptions Page 1'!M17</f>
        <v>0.13711718771412032</v>
      </c>
      <c r="I6" s="15">
        <f>'Assumptions Page 1'!N17</f>
        <v>0.24</v>
      </c>
      <c r="J6" s="52">
        <f>'Assumptions Page 1'!O17</f>
        <v>0.06</v>
      </c>
    </row>
    <row r="7" spans="2:10" x14ac:dyDescent="0.35">
      <c r="B7" s="13" t="s">
        <v>64</v>
      </c>
      <c r="C7" s="39">
        <f>'Assumptions Page 1'!M6</f>
        <v>5.0624999999999996E-2</v>
      </c>
      <c r="D7" s="39">
        <f>'Assumptions Page 1'!N6</f>
        <v>5.3100000000000001E-2</v>
      </c>
      <c r="E7" s="55">
        <f>'Assumptions Page 1'!O6</f>
        <v>4.3299999999999998E-2</v>
      </c>
      <c r="G7" s="13" t="s">
        <v>69</v>
      </c>
      <c r="H7" s="15">
        <f>'Assumptions Page 1'!M18</f>
        <v>1.8219455325002125E-3</v>
      </c>
      <c r="I7" s="15">
        <f>'Assumptions Page 1'!N18</f>
        <v>0.03</v>
      </c>
      <c r="J7" s="52">
        <f>'Assumptions Page 1'!O18</f>
        <v>-0.02</v>
      </c>
    </row>
    <row r="8" spans="2:10" x14ac:dyDescent="0.35">
      <c r="B8" s="13" t="s">
        <v>65</v>
      </c>
      <c r="C8" s="39">
        <f>'Assumptions Page 1'!M7</f>
        <v>4.08875E-2</v>
      </c>
      <c r="D8" s="39">
        <f>'Assumptions Page 1'!N7</f>
        <v>4.5900000000000003E-2</v>
      </c>
      <c r="E8" s="55">
        <f>'Assumptions Page 1'!O7</f>
        <v>3.4799999999999998E-2</v>
      </c>
      <c r="G8" s="13" t="s">
        <v>70</v>
      </c>
      <c r="H8" s="15">
        <f>'Assumptions Page 1'!M19</f>
        <v>0.10204245721640157</v>
      </c>
      <c r="I8" s="15">
        <f>'Assumptions Page 1'!N19</f>
        <v>0.04</v>
      </c>
      <c r="J8" s="52">
        <f>'Assumptions Page 1'!O19</f>
        <v>0.15</v>
      </c>
    </row>
    <row r="9" spans="2:10" x14ac:dyDescent="0.35">
      <c r="B9" s="17" t="s">
        <v>103</v>
      </c>
      <c r="C9" s="26">
        <f>'Assumptions Page 1'!M8</f>
        <v>108.875</v>
      </c>
      <c r="D9" s="26">
        <f>'Assumptions Page 1'!N8</f>
        <v>149</v>
      </c>
      <c r="E9" s="27">
        <f>'Assumptions Page 1'!O8</f>
        <v>82</v>
      </c>
      <c r="G9" s="17" t="s">
        <v>24</v>
      </c>
      <c r="H9" s="41">
        <f>'Assumptions Page 1'!M20</f>
        <v>0.36356258883354792</v>
      </c>
      <c r="I9" s="41">
        <f>'Assumptions Page 1'!N20</f>
        <v>0.3</v>
      </c>
      <c r="J9" s="53">
        <f>'Assumptions Page 1'!O20</f>
        <v>0.45</v>
      </c>
    </row>
  </sheetData>
  <mergeCells count="2">
    <mergeCell ref="B2:D2"/>
    <mergeCell ref="G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2F89-7247-438C-9AF3-79ED76AFAB31}">
  <dimension ref="B2:E23"/>
  <sheetViews>
    <sheetView workbookViewId="0">
      <selection activeCell="G20" sqref="G20"/>
    </sheetView>
  </sheetViews>
  <sheetFormatPr defaultRowHeight="14.5" x14ac:dyDescent="0.35"/>
  <cols>
    <col min="2" max="2" width="29.6328125" bestFit="1" customWidth="1"/>
    <col min="7" max="7" width="20.08984375" bestFit="1" customWidth="1"/>
  </cols>
  <sheetData>
    <row r="2" spans="2:5" x14ac:dyDescent="0.35">
      <c r="B2" s="77" t="s">
        <v>71</v>
      </c>
      <c r="C2" s="78"/>
      <c r="D2" s="78"/>
    </row>
    <row r="4" spans="2:5" x14ac:dyDescent="0.35">
      <c r="B4" s="28" t="s">
        <v>72</v>
      </c>
      <c r="C4" s="29" t="s">
        <v>61</v>
      </c>
      <c r="D4" s="29" t="s">
        <v>62</v>
      </c>
      <c r="E4" s="30" t="s">
        <v>63</v>
      </c>
    </row>
    <row r="5" spans="2:5" x14ac:dyDescent="0.35">
      <c r="B5" s="21" t="s">
        <v>73</v>
      </c>
      <c r="C5" s="40">
        <v>13200</v>
      </c>
      <c r="D5" s="40">
        <v>13200</v>
      </c>
      <c r="E5" s="40">
        <v>13200</v>
      </c>
    </row>
    <row r="6" spans="2:5" x14ac:dyDescent="0.35">
      <c r="B6" s="25" t="s">
        <v>74</v>
      </c>
      <c r="C6" s="41">
        <f>'Assumptions Page 2'!H5</f>
        <v>8.8827178903872886E-2</v>
      </c>
      <c r="D6" s="41">
        <f>'Assumptions Page 2'!I5</f>
        <v>0.26</v>
      </c>
      <c r="E6" s="41">
        <f>'Assumptions Page 2'!J5</f>
        <v>-0.14000000000000001</v>
      </c>
    </row>
    <row r="7" spans="2:5" x14ac:dyDescent="0.35">
      <c r="B7" s="28" t="s">
        <v>75</v>
      </c>
      <c r="C7" s="42">
        <f>C5+(C5*C6)</f>
        <v>14372.518761531122</v>
      </c>
      <c r="D7" s="42">
        <f t="shared" ref="D7:E7" si="0">D5+(D5*D6)</f>
        <v>16632</v>
      </c>
      <c r="E7" s="42">
        <f t="shared" si="0"/>
        <v>11352</v>
      </c>
    </row>
    <row r="9" spans="2:5" x14ac:dyDescent="0.35">
      <c r="B9" s="77" t="s">
        <v>76</v>
      </c>
      <c r="C9" s="77"/>
      <c r="D9" s="77"/>
    </row>
    <row r="11" spans="2:5" x14ac:dyDescent="0.35">
      <c r="B11" s="28" t="s">
        <v>77</v>
      </c>
      <c r="C11" s="29" t="s">
        <v>61</v>
      </c>
      <c r="D11" s="29" t="s">
        <v>62</v>
      </c>
      <c r="E11" s="30" t="s">
        <v>63</v>
      </c>
    </row>
    <row r="12" spans="2:5" x14ac:dyDescent="0.35">
      <c r="B12" s="21" t="s">
        <v>78</v>
      </c>
      <c r="C12" s="22">
        <v>13430</v>
      </c>
      <c r="D12" s="22">
        <v>13430</v>
      </c>
      <c r="E12" s="22">
        <v>13430</v>
      </c>
    </row>
    <row r="13" spans="2:5" x14ac:dyDescent="0.35">
      <c r="B13" s="25" t="s">
        <v>74</v>
      </c>
      <c r="C13" s="41">
        <f>'Assumptions Page 1'!M17</f>
        <v>0.13711718771412032</v>
      </c>
      <c r="D13" s="41">
        <f>'Assumptions Page 1'!N17</f>
        <v>0.24</v>
      </c>
      <c r="E13" s="41">
        <f>'Assumptions Page 1'!O17</f>
        <v>0.06</v>
      </c>
    </row>
    <row r="14" spans="2:5" x14ac:dyDescent="0.35">
      <c r="B14" s="28" t="s">
        <v>79</v>
      </c>
      <c r="C14" s="31">
        <f>C12+(C12*C13)</f>
        <v>15271.483831000636</v>
      </c>
      <c r="D14" s="31">
        <f t="shared" ref="D14:E14" si="1">D12+(D12*D13)</f>
        <v>16653.2</v>
      </c>
      <c r="E14" s="31">
        <f t="shared" si="1"/>
        <v>14235.8</v>
      </c>
    </row>
    <row r="17" spans="2:5" x14ac:dyDescent="0.35">
      <c r="B17" s="77" t="s">
        <v>80</v>
      </c>
      <c r="C17" s="78"/>
      <c r="D17" s="78"/>
    </row>
    <row r="19" spans="2:5" x14ac:dyDescent="0.35">
      <c r="B19" s="28" t="s">
        <v>77</v>
      </c>
      <c r="C19" s="29" t="s">
        <v>61</v>
      </c>
      <c r="D19" s="29" t="s">
        <v>62</v>
      </c>
      <c r="E19" s="30" t="s">
        <v>63</v>
      </c>
    </row>
    <row r="20" spans="2:5" x14ac:dyDescent="0.35">
      <c r="B20" s="23" t="s">
        <v>81</v>
      </c>
      <c r="C20" s="43">
        <f>C7</f>
        <v>14372.518761531122</v>
      </c>
      <c r="D20" s="43">
        <f>D7</f>
        <v>16632</v>
      </c>
      <c r="E20" s="48">
        <f>E7</f>
        <v>11352</v>
      </c>
    </row>
    <row r="21" spans="2:5" x14ac:dyDescent="0.35">
      <c r="B21" s="23" t="s">
        <v>82</v>
      </c>
      <c r="C21">
        <f>C14</f>
        <v>15271.483831000636</v>
      </c>
      <c r="D21">
        <f>D14</f>
        <v>16653.2</v>
      </c>
      <c r="E21" s="24">
        <f>E14</f>
        <v>14235.8</v>
      </c>
    </row>
    <row r="22" spans="2:5" x14ac:dyDescent="0.35">
      <c r="B22" s="25" t="s">
        <v>36</v>
      </c>
      <c r="C22" s="49">
        <f>C20+C21</f>
        <v>29644.00259253176</v>
      </c>
      <c r="D22" s="49">
        <f t="shared" ref="D22:E22" si="2">D20+D21</f>
        <v>33285.199999999997</v>
      </c>
      <c r="E22" s="50">
        <f t="shared" si="2"/>
        <v>25587.8</v>
      </c>
    </row>
    <row r="23" spans="2:5" x14ac:dyDescent="0.35">
      <c r="B23" s="22"/>
      <c r="C23" s="22"/>
      <c r="D23" s="22"/>
      <c r="E23" s="22"/>
    </row>
  </sheetData>
  <mergeCells count="3">
    <mergeCell ref="B2:D2"/>
    <mergeCell ref="B9:D9"/>
    <mergeCell ref="B17:D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3083-E542-445F-A178-9393491EF56E}">
  <dimension ref="B2:E21"/>
  <sheetViews>
    <sheetView topLeftCell="A2" workbookViewId="0">
      <selection activeCell="F9" sqref="F9"/>
    </sheetView>
  </sheetViews>
  <sheetFormatPr defaultRowHeight="14.5" x14ac:dyDescent="0.35"/>
  <cols>
    <col min="2" max="2" width="29.36328125" bestFit="1" customWidth="1"/>
  </cols>
  <sheetData>
    <row r="2" spans="2:5" x14ac:dyDescent="0.35">
      <c r="B2" s="77" t="s">
        <v>83</v>
      </c>
      <c r="C2" s="78"/>
      <c r="D2" s="78"/>
    </row>
    <row r="3" spans="2:5" x14ac:dyDescent="0.35">
      <c r="B3" s="34"/>
      <c r="C3" s="29" t="s">
        <v>61</v>
      </c>
      <c r="D3" s="29" t="s">
        <v>62</v>
      </c>
      <c r="E3" s="30" t="s">
        <v>63</v>
      </c>
    </row>
    <row r="4" spans="2:5" x14ac:dyDescent="0.35">
      <c r="B4" s="23" t="s">
        <v>36</v>
      </c>
      <c r="C4">
        <f>'Revenue Build'!C22</f>
        <v>29644.00259253176</v>
      </c>
      <c r="D4">
        <f>'Revenue Build'!D22</f>
        <v>33285.199999999997</v>
      </c>
      <c r="E4" s="24">
        <f>'Revenue Build'!E22</f>
        <v>25587.8</v>
      </c>
    </row>
    <row r="5" spans="2:5" x14ac:dyDescent="0.35">
      <c r="B5" s="23" t="s">
        <v>84</v>
      </c>
      <c r="C5" s="15">
        <f>'Assumptions Page 2'!H9</f>
        <v>0.36356258883354792</v>
      </c>
      <c r="D5" s="15">
        <f>'Assumptions Page 2'!I9</f>
        <v>0.3</v>
      </c>
      <c r="E5" s="46">
        <f>'Assumptions Page 2'!J9</f>
        <v>0.45</v>
      </c>
    </row>
    <row r="6" spans="2:5" x14ac:dyDescent="0.35">
      <c r="B6" s="28" t="s">
        <v>85</v>
      </c>
      <c r="C6" s="31">
        <f>C4*C5</f>
        <v>10777.450325929252</v>
      </c>
      <c r="D6" s="31">
        <f t="shared" ref="D6:E6" si="0">D4*D5</f>
        <v>9985.56</v>
      </c>
      <c r="E6" s="32">
        <f t="shared" si="0"/>
        <v>11514.51</v>
      </c>
    </row>
    <row r="8" spans="2:5" x14ac:dyDescent="0.35">
      <c r="B8" s="77" t="s">
        <v>86</v>
      </c>
      <c r="C8" s="78"/>
      <c r="D8" s="78"/>
    </row>
    <row r="9" spans="2:5" x14ac:dyDescent="0.35">
      <c r="B9" s="34"/>
      <c r="C9" s="29" t="s">
        <v>61</v>
      </c>
      <c r="D9" s="29" t="s">
        <v>62</v>
      </c>
      <c r="E9" s="30" t="s">
        <v>63</v>
      </c>
    </row>
    <row r="10" spans="2:5" x14ac:dyDescent="0.35">
      <c r="B10" s="23" t="s">
        <v>87</v>
      </c>
      <c r="C10">
        <v>10544</v>
      </c>
      <c r="D10">
        <v>10544</v>
      </c>
      <c r="E10" s="24">
        <v>10544</v>
      </c>
    </row>
    <row r="11" spans="2:5" x14ac:dyDescent="0.35">
      <c r="B11" s="23" t="s">
        <v>88</v>
      </c>
      <c r="C11" s="15">
        <f>'Assumptions Page 2'!H8</f>
        <v>0.10204245721640157</v>
      </c>
      <c r="D11" s="15">
        <f>'Assumptions Page 2'!I8</f>
        <v>0.04</v>
      </c>
      <c r="E11" s="46">
        <f>'Assumptions Page 2'!J8</f>
        <v>0.15</v>
      </c>
    </row>
    <row r="12" spans="2:5" x14ac:dyDescent="0.35">
      <c r="B12" s="28" t="s">
        <v>89</v>
      </c>
      <c r="C12" s="31">
        <f>C10+(C10*C11)</f>
        <v>11619.935668889739</v>
      </c>
      <c r="D12" s="31">
        <f t="shared" ref="D12:E12" si="1">D10+(D10*D11)</f>
        <v>10965.76</v>
      </c>
      <c r="E12" s="32">
        <f t="shared" si="1"/>
        <v>12125.6</v>
      </c>
    </row>
    <row r="14" spans="2:5" x14ac:dyDescent="0.35">
      <c r="B14" s="77" t="s">
        <v>90</v>
      </c>
      <c r="C14" s="78"/>
      <c r="D14" s="78"/>
    </row>
    <row r="15" spans="2:5" x14ac:dyDescent="0.35">
      <c r="B15" s="33"/>
      <c r="C15" s="29" t="s">
        <v>61</v>
      </c>
      <c r="D15" s="29" t="s">
        <v>62</v>
      </c>
      <c r="E15" s="30" t="s">
        <v>63</v>
      </c>
    </row>
    <row r="16" spans="2:5" x14ac:dyDescent="0.35">
      <c r="B16" s="23" t="s">
        <v>91</v>
      </c>
      <c r="C16">
        <f>'Revenue Build'!C22</f>
        <v>29644.00259253176</v>
      </c>
      <c r="D16">
        <f>'Revenue Build'!D22</f>
        <v>33285.199999999997</v>
      </c>
      <c r="E16" s="47">
        <f>'Revenue Build'!E22</f>
        <v>25587.8</v>
      </c>
    </row>
    <row r="17" spans="2:5" x14ac:dyDescent="0.35">
      <c r="B17" s="23" t="s">
        <v>92</v>
      </c>
      <c r="C17">
        <f>C6</f>
        <v>10777.450325929252</v>
      </c>
      <c r="D17">
        <f t="shared" ref="D17:E17" si="2">D6</f>
        <v>9985.56</v>
      </c>
      <c r="E17" s="24">
        <f t="shared" si="2"/>
        <v>11514.51</v>
      </c>
    </row>
    <row r="18" spans="2:5" x14ac:dyDescent="0.35">
      <c r="B18" s="23" t="s">
        <v>93</v>
      </c>
      <c r="C18">
        <f>C12</f>
        <v>11619.935668889739</v>
      </c>
      <c r="D18">
        <f t="shared" ref="D18:E18" si="3">D12</f>
        <v>10965.76</v>
      </c>
      <c r="E18" s="24">
        <f t="shared" si="3"/>
        <v>12125.6</v>
      </c>
    </row>
    <row r="19" spans="2:5" x14ac:dyDescent="0.35">
      <c r="B19" s="28" t="s">
        <v>94</v>
      </c>
      <c r="C19" s="31">
        <f>C17+C18</f>
        <v>22397.385994818993</v>
      </c>
      <c r="D19" s="31">
        <f t="shared" ref="D19:E19" si="4">D17+D18</f>
        <v>20951.32</v>
      </c>
      <c r="E19" s="32">
        <f t="shared" si="4"/>
        <v>23640.11</v>
      </c>
    </row>
    <row r="20" spans="2:5" x14ac:dyDescent="0.35">
      <c r="B20" s="23" t="s">
        <v>95</v>
      </c>
      <c r="C20">
        <f>C16-C19</f>
        <v>7246.6165977127675</v>
      </c>
      <c r="D20">
        <f t="shared" ref="D20:E20" si="5">D16-D19</f>
        <v>12333.879999999997</v>
      </c>
      <c r="E20" s="24">
        <f t="shared" si="5"/>
        <v>1947.6899999999987</v>
      </c>
    </row>
    <row r="21" spans="2:5" x14ac:dyDescent="0.35">
      <c r="B21" s="25" t="s">
        <v>96</v>
      </c>
      <c r="C21" s="18">
        <f>C20/C16</f>
        <v>0.24445472824032252</v>
      </c>
      <c r="D21" s="18">
        <f t="shared" ref="D21:E21" si="6">D20/D16</f>
        <v>0.37055147633182312</v>
      </c>
      <c r="E21" s="20">
        <f t="shared" si="6"/>
        <v>7.611791556913837E-2</v>
      </c>
    </row>
  </sheetData>
  <mergeCells count="3">
    <mergeCell ref="B2:D2"/>
    <mergeCell ref="B8:D8"/>
    <mergeCell ref="B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AD16-1DBB-4183-96FA-3F34A3C4A44B}">
  <dimension ref="B2:E17"/>
  <sheetViews>
    <sheetView workbookViewId="0">
      <selection activeCell="H7" sqref="H7"/>
    </sheetView>
  </sheetViews>
  <sheetFormatPr defaultRowHeight="14.5" x14ac:dyDescent="0.35"/>
  <cols>
    <col min="2" max="2" width="20.6328125" bestFit="1" customWidth="1"/>
    <col min="3" max="3" width="9.26953125" bestFit="1" customWidth="1"/>
  </cols>
  <sheetData>
    <row r="2" spans="2:5" x14ac:dyDescent="0.35">
      <c r="B2" s="77" t="s">
        <v>98</v>
      </c>
      <c r="C2" s="78"/>
      <c r="D2" s="78"/>
    </row>
    <row r="3" spans="2:5" x14ac:dyDescent="0.35">
      <c r="B3" s="35" t="s">
        <v>0</v>
      </c>
      <c r="C3" s="29" t="s">
        <v>61</v>
      </c>
      <c r="D3" s="29" t="s">
        <v>62</v>
      </c>
      <c r="E3" s="30" t="s">
        <v>63</v>
      </c>
    </row>
    <row r="4" spans="2:5" x14ac:dyDescent="0.35">
      <c r="B4" s="23" t="s">
        <v>20</v>
      </c>
      <c r="C4">
        <f>'Revenue Build'!C7</f>
        <v>14372.518761531122</v>
      </c>
      <c r="D4">
        <f>'Revenue Build'!D7</f>
        <v>16632</v>
      </c>
      <c r="E4" s="24">
        <f>'Revenue Build'!E7</f>
        <v>11352</v>
      </c>
    </row>
    <row r="5" spans="2:5" x14ac:dyDescent="0.35">
      <c r="B5" s="23" t="s">
        <v>21</v>
      </c>
      <c r="C5">
        <f>'Revenue Build'!C14</f>
        <v>15271.483831000636</v>
      </c>
      <c r="D5">
        <f>'Revenue Build'!D14</f>
        <v>16653.2</v>
      </c>
      <c r="E5" s="24">
        <f>'Revenue Build'!E14</f>
        <v>14235.8</v>
      </c>
    </row>
    <row r="6" spans="2:5" x14ac:dyDescent="0.35">
      <c r="B6" s="23" t="s">
        <v>50</v>
      </c>
      <c r="C6">
        <f>'Revenue Build'!C22</f>
        <v>29644.00259253176</v>
      </c>
      <c r="D6">
        <f>'Revenue Build'!D22</f>
        <v>33285.199999999997</v>
      </c>
      <c r="E6" s="24">
        <f>'Revenue Build'!E22</f>
        <v>25587.8</v>
      </c>
    </row>
    <row r="7" spans="2:5" x14ac:dyDescent="0.35">
      <c r="B7" s="23"/>
      <c r="E7" s="24"/>
    </row>
    <row r="8" spans="2:5" x14ac:dyDescent="0.35">
      <c r="B8" s="23" t="s">
        <v>124</v>
      </c>
      <c r="C8">
        <f>'Expense Build'!C6</f>
        <v>10777.450325929252</v>
      </c>
      <c r="D8">
        <f>'Expense Build'!D6</f>
        <v>9985.56</v>
      </c>
      <c r="E8" s="24">
        <f>'Expense Build'!E6</f>
        <v>11514.51</v>
      </c>
    </row>
    <row r="9" spans="2:5" x14ac:dyDescent="0.35">
      <c r="B9" s="23" t="s">
        <v>125</v>
      </c>
      <c r="C9">
        <f>'Expense Build'!C12</f>
        <v>11619.935668889739</v>
      </c>
      <c r="D9">
        <f>'Expense Build'!D12</f>
        <v>10965.76</v>
      </c>
      <c r="E9" s="24">
        <f>'Expense Build'!E12</f>
        <v>12125.6</v>
      </c>
    </row>
    <row r="10" spans="2:5" x14ac:dyDescent="0.35">
      <c r="B10" s="23" t="s">
        <v>39</v>
      </c>
      <c r="C10">
        <f>'Expense Build'!C19</f>
        <v>22397.385994818993</v>
      </c>
      <c r="D10">
        <f>'Expense Build'!D19</f>
        <v>20951.32</v>
      </c>
      <c r="E10" s="24">
        <f>'Expense Build'!E19</f>
        <v>23640.11</v>
      </c>
    </row>
    <row r="11" spans="2:5" x14ac:dyDescent="0.35">
      <c r="B11" s="23"/>
      <c r="E11" s="24"/>
    </row>
    <row r="12" spans="2:5" x14ac:dyDescent="0.35">
      <c r="B12" s="23" t="s">
        <v>54</v>
      </c>
      <c r="C12">
        <f>C6-C10</f>
        <v>7246.6165977127675</v>
      </c>
      <c r="D12">
        <f>D6-D10</f>
        <v>12333.879999999997</v>
      </c>
      <c r="E12" s="24">
        <f>E6-E10</f>
        <v>1947.6899999999987</v>
      </c>
    </row>
    <row r="13" spans="2:5" x14ac:dyDescent="0.35">
      <c r="B13" s="23" t="s">
        <v>41</v>
      </c>
      <c r="C13" s="38">
        <f>C12/C6</f>
        <v>0.24445472824032252</v>
      </c>
      <c r="D13" s="38">
        <f>D12/D6</f>
        <v>0.37055147633182312</v>
      </c>
      <c r="E13" s="14">
        <f>E12/E6</f>
        <v>7.611791556913837E-2</v>
      </c>
    </row>
    <row r="14" spans="2:5" x14ac:dyDescent="0.35">
      <c r="B14" s="23"/>
      <c r="E14" s="24"/>
    </row>
    <row r="15" spans="2:5" x14ac:dyDescent="0.35">
      <c r="B15" s="23" t="s">
        <v>97</v>
      </c>
      <c r="E15" s="24"/>
    </row>
    <row r="16" spans="2:5" x14ac:dyDescent="0.35">
      <c r="B16" s="23" t="s">
        <v>99</v>
      </c>
      <c r="C16">
        <f>'Assumptions Page 2'!C5</f>
        <v>15.760000000000002</v>
      </c>
      <c r="D16">
        <f>'Assumptions Page 2'!D5</f>
        <v>19.600000000000001</v>
      </c>
      <c r="E16" s="24">
        <f>'Assumptions Page 2'!E5</f>
        <v>13.59</v>
      </c>
    </row>
    <row r="17" spans="2:5" x14ac:dyDescent="0.35">
      <c r="B17" s="25" t="s">
        <v>100</v>
      </c>
      <c r="C17" s="44">
        <f>'Assumptions Page 2'!C6</f>
        <v>6.5187500000000009E-2</v>
      </c>
      <c r="D17" s="44">
        <f>'Assumptions Page 2'!D6</f>
        <v>0.13730000000000001</v>
      </c>
      <c r="E17" s="45">
        <f>'Assumptions Page 2'!E6</f>
        <v>8.0000000000000002E-3</v>
      </c>
    </row>
  </sheetData>
  <mergeCells count="1">
    <mergeCell ref="B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1EF8-04C8-4E52-ADE8-6D30CE85B670}">
  <dimension ref="B4:L103"/>
  <sheetViews>
    <sheetView workbookViewId="0">
      <selection activeCell="P7" sqref="P7"/>
    </sheetView>
  </sheetViews>
  <sheetFormatPr defaultRowHeight="14.5" x14ac:dyDescent="0.35"/>
  <cols>
    <col min="4" max="4" width="17.1796875" bestFit="1" customWidth="1"/>
    <col min="9" max="9" width="17.1796875" bestFit="1" customWidth="1"/>
    <col min="10" max="10" width="9.26953125" bestFit="1" customWidth="1"/>
    <col min="11" max="11" width="11.26953125" customWidth="1"/>
  </cols>
  <sheetData>
    <row r="4" spans="2:12" x14ac:dyDescent="0.35">
      <c r="B4" t="s">
        <v>128</v>
      </c>
      <c r="C4" t="s">
        <v>127</v>
      </c>
      <c r="D4" t="s">
        <v>0</v>
      </c>
      <c r="E4" t="s">
        <v>129</v>
      </c>
      <c r="F4" s="2" t="s">
        <v>126</v>
      </c>
      <c r="H4" s="2" t="s">
        <v>139</v>
      </c>
      <c r="I4" s="2" t="s">
        <v>133</v>
      </c>
      <c r="J4" s="2" t="s">
        <v>134</v>
      </c>
      <c r="K4" s="2" t="s">
        <v>135</v>
      </c>
      <c r="L4" s="2"/>
    </row>
    <row r="5" spans="2:12" x14ac:dyDescent="0.35">
      <c r="B5">
        <v>2023</v>
      </c>
      <c r="C5" t="s">
        <v>120</v>
      </c>
      <c r="D5" t="s">
        <v>81</v>
      </c>
      <c r="E5" s="1">
        <f>'Raw Data'!F3</f>
        <v>3930</v>
      </c>
      <c r="F5" t="s">
        <v>131</v>
      </c>
      <c r="H5" s="75" t="s">
        <v>140</v>
      </c>
      <c r="I5" t="s">
        <v>118</v>
      </c>
      <c r="J5" s="1">
        <f>'Raw Data'!B7+'Raw Data'!C7+'Raw Data'!D7+'Raw Data'!E7</f>
        <v>25310</v>
      </c>
      <c r="K5" t="s">
        <v>131</v>
      </c>
    </row>
    <row r="6" spans="2:12" x14ac:dyDescent="0.35">
      <c r="B6">
        <v>2023</v>
      </c>
      <c r="C6" t="s">
        <v>120</v>
      </c>
      <c r="D6" t="s">
        <v>82</v>
      </c>
      <c r="E6" s="1">
        <f>'Raw Data'!F5</f>
        <v>3020</v>
      </c>
      <c r="F6" t="s">
        <v>131</v>
      </c>
      <c r="H6" s="75" t="s">
        <v>136</v>
      </c>
      <c r="I6" t="s">
        <v>118</v>
      </c>
      <c r="J6" s="1">
        <f>'Raw Data'!F7+'Raw Data'!G7+'Raw Data'!H7+'Raw Data'!I7</f>
        <v>23610</v>
      </c>
      <c r="K6" t="s">
        <v>131</v>
      </c>
    </row>
    <row r="7" spans="2:12" x14ac:dyDescent="0.35">
      <c r="B7">
        <v>2023</v>
      </c>
      <c r="C7" t="s">
        <v>120</v>
      </c>
      <c r="D7" t="s">
        <v>118</v>
      </c>
      <c r="E7" s="1">
        <f>'Raw Data'!F7</f>
        <v>6950</v>
      </c>
      <c r="F7" t="s">
        <v>131</v>
      </c>
      <c r="H7" s="76" t="s">
        <v>137</v>
      </c>
      <c r="I7" t="s">
        <v>118</v>
      </c>
      <c r="J7" s="1">
        <f>'Raw Data'!J7+'Raw Data'!K7+'Raw Data'!L7+'Raw Data'!M7</f>
        <v>26630</v>
      </c>
      <c r="K7" s="74" t="s">
        <v>131</v>
      </c>
    </row>
    <row r="8" spans="2:12" x14ac:dyDescent="0.35">
      <c r="B8">
        <v>2023</v>
      </c>
      <c r="C8" t="s">
        <v>120</v>
      </c>
      <c r="D8" t="s">
        <v>22</v>
      </c>
      <c r="E8" s="1">
        <f>'Raw Data'!F8</f>
        <v>2087.625</v>
      </c>
      <c r="F8" t="s">
        <v>131</v>
      </c>
      <c r="H8" s="76" t="s">
        <v>137</v>
      </c>
      <c r="I8" t="s">
        <v>118</v>
      </c>
      <c r="J8" s="1">
        <v>26630</v>
      </c>
      <c r="K8" s="74" t="s">
        <v>62</v>
      </c>
    </row>
    <row r="9" spans="2:12" x14ac:dyDescent="0.35">
      <c r="B9">
        <v>2023</v>
      </c>
      <c r="C9" t="s">
        <v>120</v>
      </c>
      <c r="D9" t="s">
        <v>23</v>
      </c>
      <c r="E9" s="1">
        <f>'Raw Data'!F9</f>
        <v>2307.375</v>
      </c>
      <c r="F9" t="s">
        <v>131</v>
      </c>
      <c r="H9" s="76" t="s">
        <v>137</v>
      </c>
      <c r="I9" t="s">
        <v>118</v>
      </c>
      <c r="J9" s="1">
        <v>26630</v>
      </c>
      <c r="K9" s="74" t="s">
        <v>61</v>
      </c>
    </row>
    <row r="10" spans="2:12" x14ac:dyDescent="0.35">
      <c r="B10">
        <v>2023</v>
      </c>
      <c r="C10" t="s">
        <v>120</v>
      </c>
      <c r="D10" t="s">
        <v>119</v>
      </c>
      <c r="E10" s="1">
        <f>'Raw Data'!F10</f>
        <v>4395</v>
      </c>
      <c r="F10" t="s">
        <v>131</v>
      </c>
      <c r="H10" s="76" t="s">
        <v>141</v>
      </c>
      <c r="I10" t="s">
        <v>118</v>
      </c>
      <c r="J10" s="1">
        <v>26630</v>
      </c>
      <c r="K10" s="74" t="s">
        <v>63</v>
      </c>
    </row>
    <row r="11" spans="2:12" x14ac:dyDescent="0.35">
      <c r="B11">
        <v>2023</v>
      </c>
      <c r="C11" t="s">
        <v>120</v>
      </c>
      <c r="D11" t="s">
        <v>54</v>
      </c>
      <c r="E11" s="1">
        <f>'Raw Data'!F11</f>
        <v>3993</v>
      </c>
      <c r="F11" t="s">
        <v>131</v>
      </c>
      <c r="H11" s="76" t="s">
        <v>138</v>
      </c>
      <c r="I11" t="s">
        <v>118</v>
      </c>
      <c r="J11">
        <f>'PBI Data'!E84</f>
        <v>33285.199999999997</v>
      </c>
      <c r="K11" s="74" t="s">
        <v>62</v>
      </c>
    </row>
    <row r="12" spans="2:12" x14ac:dyDescent="0.35">
      <c r="B12">
        <v>2023</v>
      </c>
      <c r="C12" t="s">
        <v>120</v>
      </c>
      <c r="D12" t="s">
        <v>15</v>
      </c>
      <c r="E12" s="15">
        <f>'Raw Data'!F12</f>
        <v>0.32675941080196397</v>
      </c>
      <c r="F12" t="s">
        <v>131</v>
      </c>
      <c r="H12" s="76" t="s">
        <v>138</v>
      </c>
      <c r="I12" t="s">
        <v>118</v>
      </c>
      <c r="J12" s="1">
        <f>'PBI Data'!E83</f>
        <v>29644.00259253176</v>
      </c>
      <c r="K12" s="74" t="s">
        <v>61</v>
      </c>
    </row>
    <row r="13" spans="2:12" x14ac:dyDescent="0.35">
      <c r="B13">
        <v>2023</v>
      </c>
      <c r="C13" t="s">
        <v>120</v>
      </c>
      <c r="D13" t="s">
        <v>24</v>
      </c>
      <c r="E13" s="15">
        <f>'P&amp;L Model'!F17</f>
        <v>0.30037769784172663</v>
      </c>
      <c r="F13" t="s">
        <v>131</v>
      </c>
      <c r="H13" s="76" t="s">
        <v>138</v>
      </c>
      <c r="I13" t="s">
        <v>118</v>
      </c>
      <c r="J13">
        <f>'PBI Data'!E85</f>
        <v>25587.8</v>
      </c>
      <c r="K13" s="74" t="s">
        <v>63</v>
      </c>
    </row>
    <row r="14" spans="2:12" x14ac:dyDescent="0.35">
      <c r="B14">
        <v>2023</v>
      </c>
      <c r="C14" t="s">
        <v>121</v>
      </c>
      <c r="D14" t="s">
        <v>81</v>
      </c>
      <c r="E14" s="1">
        <f>'Raw Data'!G3</f>
        <v>2710</v>
      </c>
      <c r="F14" t="s">
        <v>131</v>
      </c>
      <c r="J14" s="15"/>
    </row>
    <row r="15" spans="2:12" x14ac:dyDescent="0.35">
      <c r="B15">
        <v>2023</v>
      </c>
      <c r="C15" t="s">
        <v>121</v>
      </c>
      <c r="D15" t="s">
        <v>82</v>
      </c>
      <c r="E15" s="1">
        <f>'Raw Data'!G5</f>
        <v>2970</v>
      </c>
      <c r="F15" t="s">
        <v>131</v>
      </c>
      <c r="J15" s="15"/>
    </row>
    <row r="16" spans="2:12" x14ac:dyDescent="0.35">
      <c r="B16">
        <v>2023</v>
      </c>
      <c r="C16" t="s">
        <v>121</v>
      </c>
      <c r="D16" t="s">
        <v>118</v>
      </c>
      <c r="E16" s="1">
        <f>'Raw Data'!G7</f>
        <v>5680</v>
      </c>
      <c r="F16" t="s">
        <v>131</v>
      </c>
      <c r="J16" s="15"/>
    </row>
    <row r="17" spans="2:10" x14ac:dyDescent="0.35">
      <c r="B17">
        <v>2023</v>
      </c>
      <c r="C17" t="s">
        <v>121</v>
      </c>
      <c r="D17" t="s">
        <v>22</v>
      </c>
      <c r="E17" s="1">
        <f>'Raw Data'!G8</f>
        <v>2122.7750000000001</v>
      </c>
      <c r="F17" t="s">
        <v>131</v>
      </c>
      <c r="J17" s="15"/>
    </row>
    <row r="18" spans="2:10" x14ac:dyDescent="0.35">
      <c r="B18">
        <v>2023</v>
      </c>
      <c r="C18" t="s">
        <v>121</v>
      </c>
      <c r="D18" t="s">
        <v>23</v>
      </c>
      <c r="E18" s="1">
        <f>'Raw Data'!G9</f>
        <v>2346.2249999999999</v>
      </c>
      <c r="F18" t="s">
        <v>131</v>
      </c>
      <c r="J18" s="15"/>
    </row>
    <row r="19" spans="2:10" x14ac:dyDescent="0.35">
      <c r="B19">
        <v>2023</v>
      </c>
      <c r="C19" t="s">
        <v>121</v>
      </c>
      <c r="D19" t="s">
        <v>119</v>
      </c>
      <c r="E19" s="1">
        <f>'Raw Data'!G10</f>
        <v>4469</v>
      </c>
      <c r="F19" t="s">
        <v>131</v>
      </c>
      <c r="J19" s="15"/>
    </row>
    <row r="20" spans="2:10" x14ac:dyDescent="0.35">
      <c r="B20">
        <v>2023</v>
      </c>
      <c r="C20" t="s">
        <v>121</v>
      </c>
      <c r="D20" t="s">
        <v>54</v>
      </c>
      <c r="E20" s="1">
        <f>'Raw Data'!G11</f>
        <v>1736</v>
      </c>
      <c r="F20" t="s">
        <v>131</v>
      </c>
      <c r="J20" s="15"/>
    </row>
    <row r="21" spans="2:10" x14ac:dyDescent="0.35">
      <c r="B21">
        <v>2023</v>
      </c>
      <c r="C21" t="s">
        <v>121</v>
      </c>
      <c r="D21" t="s">
        <v>15</v>
      </c>
      <c r="E21" s="4">
        <f>'Raw Data'!G12</f>
        <v>0.15926605504587155</v>
      </c>
      <c r="F21" t="s">
        <v>131</v>
      </c>
      <c r="J21" s="15"/>
    </row>
    <row r="22" spans="2:10" x14ac:dyDescent="0.35">
      <c r="B22">
        <v>2023</v>
      </c>
      <c r="C22" t="s">
        <v>121</v>
      </c>
      <c r="D22" t="s">
        <v>24</v>
      </c>
      <c r="E22" s="4">
        <f>'P&amp;L Model'!G17</f>
        <v>0.3737279929577465</v>
      </c>
      <c r="F22" t="s">
        <v>131</v>
      </c>
      <c r="J22" s="15"/>
    </row>
    <row r="23" spans="2:10" x14ac:dyDescent="0.35">
      <c r="B23">
        <v>2023</v>
      </c>
      <c r="C23" t="s">
        <v>122</v>
      </c>
      <c r="D23" t="s">
        <v>81</v>
      </c>
      <c r="E23" s="1">
        <f>'Raw Data'!H3</f>
        <v>3380</v>
      </c>
      <c r="F23" t="s">
        <v>131</v>
      </c>
      <c r="J23" s="15"/>
    </row>
    <row r="24" spans="2:10" x14ac:dyDescent="0.35">
      <c r="B24">
        <v>2023</v>
      </c>
      <c r="C24" t="s">
        <v>122</v>
      </c>
      <c r="D24" t="s">
        <v>82</v>
      </c>
      <c r="E24" s="1">
        <f>'Raw Data'!H5</f>
        <v>2960</v>
      </c>
      <c r="F24" t="s">
        <v>131</v>
      </c>
      <c r="J24" s="15"/>
    </row>
    <row r="25" spans="2:10" x14ac:dyDescent="0.35">
      <c r="B25">
        <v>2023</v>
      </c>
      <c r="C25" t="s">
        <v>122</v>
      </c>
      <c r="D25" t="s">
        <v>118</v>
      </c>
      <c r="E25" s="1">
        <f>'Raw Data'!H7</f>
        <v>6340</v>
      </c>
      <c r="F25" t="s">
        <v>131</v>
      </c>
      <c r="J25" s="15"/>
    </row>
    <row r="26" spans="2:10" x14ac:dyDescent="0.35">
      <c r="B26">
        <v>2023</v>
      </c>
      <c r="C26" t="s">
        <v>122</v>
      </c>
      <c r="D26" t="s">
        <v>22</v>
      </c>
      <c r="E26" s="1">
        <f>'Raw Data'!H8</f>
        <v>2249.6</v>
      </c>
      <c r="F26" t="s">
        <v>131</v>
      </c>
      <c r="J26" s="15"/>
    </row>
    <row r="27" spans="2:10" x14ac:dyDescent="0.35">
      <c r="B27">
        <v>2023</v>
      </c>
      <c r="C27" t="s">
        <v>122</v>
      </c>
      <c r="D27" t="s">
        <v>23</v>
      </c>
      <c r="E27" s="1">
        <f>'Raw Data'!H9</f>
        <v>2486.4</v>
      </c>
      <c r="F27" t="s">
        <v>131</v>
      </c>
      <c r="J27" s="15"/>
    </row>
    <row r="28" spans="2:10" x14ac:dyDescent="0.35">
      <c r="B28">
        <v>2023</v>
      </c>
      <c r="C28" t="s">
        <v>122</v>
      </c>
      <c r="D28" t="s">
        <v>119</v>
      </c>
      <c r="E28" s="1">
        <f>'Raw Data'!H10</f>
        <v>4736</v>
      </c>
      <c r="F28" t="s">
        <v>131</v>
      </c>
      <c r="J28" s="15"/>
    </row>
    <row r="29" spans="2:10" x14ac:dyDescent="0.35">
      <c r="B29">
        <v>2023</v>
      </c>
      <c r="C29" t="s">
        <v>122</v>
      </c>
      <c r="D29" t="s">
        <v>54</v>
      </c>
      <c r="E29" s="1">
        <f>'Raw Data'!H11</f>
        <v>2756</v>
      </c>
      <c r="F29" t="s">
        <v>131</v>
      </c>
      <c r="J29" s="15"/>
    </row>
    <row r="30" spans="2:10" x14ac:dyDescent="0.35">
      <c r="B30">
        <v>2023</v>
      </c>
      <c r="C30" t="s">
        <v>122</v>
      </c>
      <c r="D30" t="s">
        <v>15</v>
      </c>
      <c r="E30" s="15">
        <f>'Raw Data'!H12</f>
        <v>0.23316412859560068</v>
      </c>
      <c r="F30" t="s">
        <v>131</v>
      </c>
      <c r="J30" s="15"/>
    </row>
    <row r="31" spans="2:10" x14ac:dyDescent="0.35">
      <c r="B31">
        <v>2023</v>
      </c>
      <c r="C31" t="s">
        <v>122</v>
      </c>
      <c r="D31" t="s">
        <v>24</v>
      </c>
      <c r="E31" s="15">
        <f>'P&amp;L Model'!H17</f>
        <v>0.35482649842271291</v>
      </c>
      <c r="F31" t="s">
        <v>131</v>
      </c>
      <c r="J31" s="15"/>
    </row>
    <row r="32" spans="2:10" x14ac:dyDescent="0.35">
      <c r="B32">
        <v>2023</v>
      </c>
      <c r="C32" t="s">
        <v>123</v>
      </c>
      <c r="D32" t="s">
        <v>81</v>
      </c>
      <c r="E32" s="1">
        <f>'Raw Data'!I3</f>
        <v>2030</v>
      </c>
      <c r="F32" t="s">
        <v>131</v>
      </c>
    </row>
    <row r="33" spans="2:6" x14ac:dyDescent="0.35">
      <c r="B33">
        <v>2023</v>
      </c>
      <c r="C33" t="s">
        <v>123</v>
      </c>
      <c r="D33" t="s">
        <v>82</v>
      </c>
      <c r="E33" s="1">
        <f>'Raw Data'!I5</f>
        <v>2610</v>
      </c>
      <c r="F33" t="s">
        <v>131</v>
      </c>
    </row>
    <row r="34" spans="2:6" x14ac:dyDescent="0.35">
      <c r="B34">
        <v>2023</v>
      </c>
      <c r="C34" t="s">
        <v>123</v>
      </c>
      <c r="D34" t="s">
        <v>118</v>
      </c>
      <c r="E34" s="1">
        <f>'Raw Data'!I7</f>
        <v>4640</v>
      </c>
      <c r="F34" t="s">
        <v>131</v>
      </c>
    </row>
    <row r="35" spans="2:6" x14ac:dyDescent="0.35">
      <c r="B35">
        <v>2023</v>
      </c>
      <c r="C35" t="s">
        <v>123</v>
      </c>
      <c r="D35" t="s">
        <v>22</v>
      </c>
      <c r="E35" s="1">
        <f>'Raw Data'!I8</f>
        <v>2109</v>
      </c>
      <c r="F35" t="s">
        <v>131</v>
      </c>
    </row>
    <row r="36" spans="2:6" x14ac:dyDescent="0.35">
      <c r="B36">
        <v>2023</v>
      </c>
      <c r="C36" t="s">
        <v>123</v>
      </c>
      <c r="D36" t="s">
        <v>23</v>
      </c>
      <c r="E36" s="1">
        <f>'Raw Data'!I9</f>
        <v>2331</v>
      </c>
      <c r="F36" t="s">
        <v>131</v>
      </c>
    </row>
    <row r="37" spans="2:6" x14ac:dyDescent="0.35">
      <c r="B37">
        <v>2023</v>
      </c>
      <c r="C37" t="s">
        <v>123</v>
      </c>
      <c r="D37" t="s">
        <v>119</v>
      </c>
      <c r="E37" s="1">
        <f>'Raw Data'!I10</f>
        <v>4440</v>
      </c>
      <c r="F37" t="s">
        <v>131</v>
      </c>
    </row>
    <row r="38" spans="2:6" x14ac:dyDescent="0.35">
      <c r="B38">
        <v>2023</v>
      </c>
      <c r="C38" t="s">
        <v>123</v>
      </c>
      <c r="D38" t="s">
        <v>54</v>
      </c>
      <c r="E38" s="1">
        <f>'Raw Data'!I11</f>
        <v>2254</v>
      </c>
      <c r="F38" t="s">
        <v>131</v>
      </c>
    </row>
    <row r="39" spans="2:6" x14ac:dyDescent="0.35">
      <c r="B39">
        <v>2023</v>
      </c>
      <c r="C39" t="s">
        <v>123</v>
      </c>
      <c r="D39" t="s">
        <v>15</v>
      </c>
      <c r="E39" s="15">
        <f>'Raw Data'!I12</f>
        <v>0.19911660777385159</v>
      </c>
      <c r="F39" t="s">
        <v>131</v>
      </c>
    </row>
    <row r="40" spans="2:6" x14ac:dyDescent="0.35">
      <c r="B40">
        <v>2023</v>
      </c>
      <c r="C40" t="s">
        <v>123</v>
      </c>
      <c r="D40" t="s">
        <v>24</v>
      </c>
      <c r="E40" s="15">
        <f>'P&amp;L Model'!I17</f>
        <v>0.4545258620689655</v>
      </c>
      <c r="F40" t="s">
        <v>131</v>
      </c>
    </row>
    <row r="41" spans="2:6" x14ac:dyDescent="0.35">
      <c r="B41">
        <v>2024</v>
      </c>
      <c r="C41" t="s">
        <v>120</v>
      </c>
      <c r="D41" t="s">
        <v>81</v>
      </c>
      <c r="E41" s="1">
        <f>'Raw Data'!J3</f>
        <v>4320</v>
      </c>
      <c r="F41" t="s">
        <v>131</v>
      </c>
    </row>
    <row r="42" spans="2:6" x14ac:dyDescent="0.35">
      <c r="B42">
        <v>2024</v>
      </c>
      <c r="C42" t="s">
        <v>120</v>
      </c>
      <c r="D42" t="s">
        <v>82</v>
      </c>
      <c r="E42" s="1">
        <f>'Raw Data'!J5</f>
        <v>3310</v>
      </c>
      <c r="F42" t="s">
        <v>131</v>
      </c>
    </row>
    <row r="43" spans="2:6" x14ac:dyDescent="0.35">
      <c r="B43">
        <v>2024</v>
      </c>
      <c r="C43" t="s">
        <v>120</v>
      </c>
      <c r="D43" t="s">
        <v>118</v>
      </c>
      <c r="E43" s="1">
        <f>'Raw Data'!J7</f>
        <v>7630</v>
      </c>
      <c r="F43" t="s">
        <v>131</v>
      </c>
    </row>
    <row r="44" spans="2:6" x14ac:dyDescent="0.35">
      <c r="B44">
        <v>2024</v>
      </c>
      <c r="C44" t="s">
        <v>120</v>
      </c>
      <c r="D44" t="s">
        <v>22</v>
      </c>
      <c r="E44" s="1">
        <f>'Raw Data'!J8</f>
        <v>2419.4719999999998</v>
      </c>
      <c r="F44" t="s">
        <v>131</v>
      </c>
    </row>
    <row r="45" spans="2:6" x14ac:dyDescent="0.35">
      <c r="B45">
        <v>2024</v>
      </c>
      <c r="C45" t="s">
        <v>120</v>
      </c>
      <c r="D45" t="s">
        <v>23</v>
      </c>
      <c r="E45" s="1">
        <f>'Raw Data'!J9</f>
        <v>2706.5280000000002</v>
      </c>
      <c r="F45" t="s">
        <v>131</v>
      </c>
    </row>
    <row r="46" spans="2:6" x14ac:dyDescent="0.35">
      <c r="B46">
        <v>2024</v>
      </c>
      <c r="C46" t="s">
        <v>120</v>
      </c>
      <c r="D46" t="s">
        <v>119</v>
      </c>
      <c r="E46" s="1">
        <f>'Raw Data'!J10</f>
        <v>5126</v>
      </c>
      <c r="F46" t="s">
        <v>131</v>
      </c>
    </row>
    <row r="47" spans="2:6" x14ac:dyDescent="0.35">
      <c r="B47">
        <v>2024</v>
      </c>
      <c r="C47" t="s">
        <v>120</v>
      </c>
      <c r="D47" t="s">
        <v>54</v>
      </c>
      <c r="E47" s="1">
        <f>'Raw Data'!J11</f>
        <v>5237</v>
      </c>
      <c r="F47" t="s">
        <v>131</v>
      </c>
    </row>
    <row r="48" spans="2:6" x14ac:dyDescent="0.35">
      <c r="B48">
        <v>2024</v>
      </c>
      <c r="C48" t="s">
        <v>120</v>
      </c>
      <c r="D48" t="s">
        <v>15</v>
      </c>
      <c r="E48" s="15">
        <f>'Raw Data'!J12</f>
        <v>0.36854327938071779</v>
      </c>
      <c r="F48" t="s">
        <v>131</v>
      </c>
    </row>
    <row r="49" spans="2:6" x14ac:dyDescent="0.35">
      <c r="B49">
        <v>2024</v>
      </c>
      <c r="C49" t="s">
        <v>120</v>
      </c>
      <c r="D49" t="s">
        <v>24</v>
      </c>
      <c r="E49" s="15">
        <f>'P&amp;L Model'!J17</f>
        <v>0.31709986893840103</v>
      </c>
      <c r="F49" t="s">
        <v>131</v>
      </c>
    </row>
    <row r="50" spans="2:6" x14ac:dyDescent="0.35">
      <c r="B50">
        <v>2024</v>
      </c>
      <c r="C50" t="s">
        <v>121</v>
      </c>
      <c r="D50" t="s">
        <v>81</v>
      </c>
      <c r="E50" s="1">
        <f>'Raw Data'!K3</f>
        <v>3180</v>
      </c>
      <c r="F50" t="s">
        <v>131</v>
      </c>
    </row>
    <row r="51" spans="2:6" x14ac:dyDescent="0.35">
      <c r="B51">
        <v>2024</v>
      </c>
      <c r="C51" t="s">
        <v>121</v>
      </c>
      <c r="D51" t="s">
        <v>82</v>
      </c>
      <c r="E51" s="1">
        <f>'Raw Data'!K5</f>
        <v>3170</v>
      </c>
      <c r="F51" t="s">
        <v>131</v>
      </c>
    </row>
    <row r="52" spans="2:6" x14ac:dyDescent="0.35">
      <c r="B52">
        <v>2024</v>
      </c>
      <c r="C52" t="s">
        <v>121</v>
      </c>
      <c r="D52" t="s">
        <v>118</v>
      </c>
      <c r="E52" s="1">
        <f>'Raw Data'!K7</f>
        <v>6350</v>
      </c>
      <c r="F52" t="s">
        <v>131</v>
      </c>
    </row>
    <row r="53" spans="2:6" x14ac:dyDescent="0.35">
      <c r="B53">
        <v>2024</v>
      </c>
      <c r="C53" t="s">
        <v>121</v>
      </c>
      <c r="D53" t="s">
        <v>22</v>
      </c>
      <c r="E53" s="1">
        <f>'Raw Data'!K8</f>
        <v>2384.0719999999997</v>
      </c>
      <c r="F53" t="s">
        <v>131</v>
      </c>
    </row>
    <row r="54" spans="2:6" x14ac:dyDescent="0.35">
      <c r="B54">
        <v>2024</v>
      </c>
      <c r="C54" t="s">
        <v>121</v>
      </c>
      <c r="D54" t="s">
        <v>23</v>
      </c>
      <c r="E54" s="1">
        <f>'Raw Data'!K9</f>
        <v>2666.9280000000003</v>
      </c>
      <c r="F54" t="s">
        <v>131</v>
      </c>
    </row>
    <row r="55" spans="2:6" x14ac:dyDescent="0.35">
      <c r="B55">
        <v>2024</v>
      </c>
      <c r="C55" t="s">
        <v>121</v>
      </c>
      <c r="D55" t="s">
        <v>119</v>
      </c>
      <c r="E55" s="1">
        <f>'Raw Data'!K10</f>
        <v>5051</v>
      </c>
      <c r="F55" t="s">
        <v>131</v>
      </c>
    </row>
    <row r="56" spans="2:6" x14ac:dyDescent="0.35">
      <c r="B56">
        <v>2024</v>
      </c>
      <c r="C56" t="s">
        <v>121</v>
      </c>
      <c r="D56" t="s">
        <v>54</v>
      </c>
      <c r="E56" s="1">
        <f>'Raw Data'!K11</f>
        <v>3916</v>
      </c>
      <c r="F56" t="s">
        <v>131</v>
      </c>
    </row>
    <row r="57" spans="2:6" x14ac:dyDescent="0.35">
      <c r="B57">
        <v>2024</v>
      </c>
      <c r="C57" t="s">
        <v>121</v>
      </c>
      <c r="D57" t="s">
        <v>15</v>
      </c>
      <c r="E57" s="15">
        <f>'Raw Data'!K12</f>
        <v>0.30761979575805187</v>
      </c>
      <c r="F57" t="s">
        <v>131</v>
      </c>
    </row>
    <row r="58" spans="2:6" x14ac:dyDescent="0.35">
      <c r="B58">
        <v>2024</v>
      </c>
      <c r="C58" t="s">
        <v>121</v>
      </c>
      <c r="D58" t="s">
        <v>24</v>
      </c>
      <c r="E58" s="15">
        <f>'P&amp;L Model'!K17</f>
        <v>0.37544440944881885</v>
      </c>
      <c r="F58" t="s">
        <v>131</v>
      </c>
    </row>
    <row r="59" spans="2:6" x14ac:dyDescent="0.35">
      <c r="B59">
        <v>2024</v>
      </c>
      <c r="C59" t="s">
        <v>122</v>
      </c>
      <c r="D59" t="s">
        <v>81</v>
      </c>
      <c r="E59" s="1">
        <f>'Raw Data'!L3</f>
        <v>2960</v>
      </c>
      <c r="F59" t="s">
        <v>131</v>
      </c>
    </row>
    <row r="60" spans="2:6" x14ac:dyDescent="0.35">
      <c r="B60">
        <v>2024</v>
      </c>
      <c r="C60" t="s">
        <v>122</v>
      </c>
      <c r="D60" t="s">
        <v>82</v>
      </c>
      <c r="E60" s="1">
        <f>'Raw Data'!L5</f>
        <v>3500</v>
      </c>
      <c r="F60" t="s">
        <v>131</v>
      </c>
    </row>
    <row r="61" spans="2:6" x14ac:dyDescent="0.35">
      <c r="B61">
        <v>2024</v>
      </c>
      <c r="C61" t="s">
        <v>122</v>
      </c>
      <c r="D61" t="s">
        <v>118</v>
      </c>
      <c r="E61" s="1">
        <f>'Raw Data'!L7</f>
        <v>6460</v>
      </c>
      <c r="F61" t="s">
        <v>131</v>
      </c>
    </row>
    <row r="62" spans="2:6" x14ac:dyDescent="0.35">
      <c r="B62">
        <v>2024</v>
      </c>
      <c r="C62" t="s">
        <v>122</v>
      </c>
      <c r="D62" t="s">
        <v>22</v>
      </c>
      <c r="E62" s="1">
        <f>'Raw Data'!L8</f>
        <v>2323.1839999999997</v>
      </c>
      <c r="F62" t="s">
        <v>131</v>
      </c>
    </row>
    <row r="63" spans="2:6" x14ac:dyDescent="0.35">
      <c r="B63">
        <v>2024</v>
      </c>
      <c r="C63" t="s">
        <v>122</v>
      </c>
      <c r="D63" t="s">
        <v>23</v>
      </c>
      <c r="E63" s="1">
        <f>'Raw Data'!L9</f>
        <v>2598.8160000000003</v>
      </c>
      <c r="F63" t="s">
        <v>131</v>
      </c>
    </row>
    <row r="64" spans="2:6" x14ac:dyDescent="0.35">
      <c r="B64">
        <v>2024</v>
      </c>
      <c r="C64" t="s">
        <v>122</v>
      </c>
      <c r="D64" t="s">
        <v>119</v>
      </c>
      <c r="E64" s="1">
        <f>'Raw Data'!L10</f>
        <v>4922</v>
      </c>
      <c r="F64" t="s">
        <v>131</v>
      </c>
    </row>
    <row r="65" spans="2:6" x14ac:dyDescent="0.35">
      <c r="B65">
        <v>2024</v>
      </c>
      <c r="C65" t="s">
        <v>122</v>
      </c>
      <c r="D65" t="s">
        <v>54</v>
      </c>
      <c r="E65" s="1">
        <f>'Raw Data'!L11</f>
        <v>3987</v>
      </c>
      <c r="F65" t="s">
        <v>131</v>
      </c>
    </row>
    <row r="66" spans="2:6" x14ac:dyDescent="0.35">
      <c r="B66">
        <v>2024</v>
      </c>
      <c r="C66" t="s">
        <v>122</v>
      </c>
      <c r="D66" t="s">
        <v>15</v>
      </c>
      <c r="E66" s="15">
        <f>'Raw Data'!L12</f>
        <v>0.31393700787401574</v>
      </c>
      <c r="F66" t="s">
        <v>131</v>
      </c>
    </row>
    <row r="67" spans="2:6" x14ac:dyDescent="0.35">
      <c r="B67">
        <v>2024</v>
      </c>
      <c r="C67" t="s">
        <v>122</v>
      </c>
      <c r="D67" t="s">
        <v>24</v>
      </c>
      <c r="E67" s="15">
        <f>'P&amp;L Model'!L17</f>
        <v>0.3596260061919504</v>
      </c>
      <c r="F67" t="s">
        <v>131</v>
      </c>
    </row>
    <row r="68" spans="2:6" x14ac:dyDescent="0.35">
      <c r="B68">
        <v>2024</v>
      </c>
      <c r="C68" t="s">
        <v>123</v>
      </c>
      <c r="D68" t="s">
        <v>81</v>
      </c>
      <c r="E68" s="1">
        <f>'Raw Data'!M3</f>
        <v>2740</v>
      </c>
      <c r="F68" t="s">
        <v>131</v>
      </c>
    </row>
    <row r="69" spans="2:6" x14ac:dyDescent="0.35">
      <c r="B69">
        <v>2024</v>
      </c>
      <c r="C69" t="s">
        <v>123</v>
      </c>
      <c r="D69" t="s">
        <v>82</v>
      </c>
      <c r="E69" s="1">
        <f>'Raw Data'!M5</f>
        <v>3450</v>
      </c>
      <c r="F69" t="s">
        <v>131</v>
      </c>
    </row>
    <row r="70" spans="2:6" x14ac:dyDescent="0.35">
      <c r="B70">
        <v>2024</v>
      </c>
      <c r="C70" t="s">
        <v>123</v>
      </c>
      <c r="D70" t="s">
        <v>118</v>
      </c>
      <c r="E70" s="1">
        <f>'Raw Data'!M7</f>
        <v>6190</v>
      </c>
      <c r="F70" t="s">
        <v>131</v>
      </c>
    </row>
    <row r="71" spans="2:6" x14ac:dyDescent="0.35">
      <c r="B71">
        <v>2024</v>
      </c>
      <c r="C71" t="s">
        <v>123</v>
      </c>
      <c r="D71" t="s">
        <v>22</v>
      </c>
      <c r="E71" s="1">
        <f>'Raw Data'!M8</f>
        <v>2308.08</v>
      </c>
      <c r="F71" t="s">
        <v>131</v>
      </c>
    </row>
    <row r="72" spans="2:6" x14ac:dyDescent="0.35">
      <c r="B72">
        <v>2024</v>
      </c>
      <c r="C72" t="s">
        <v>123</v>
      </c>
      <c r="D72" t="s">
        <v>23</v>
      </c>
      <c r="E72" s="1">
        <f>'Raw Data'!M9</f>
        <v>2581.92</v>
      </c>
      <c r="F72" t="s">
        <v>131</v>
      </c>
    </row>
    <row r="73" spans="2:6" x14ac:dyDescent="0.35">
      <c r="B73">
        <v>2024</v>
      </c>
      <c r="C73" t="s">
        <v>123</v>
      </c>
      <c r="D73" t="s">
        <v>119</v>
      </c>
      <c r="E73" s="1">
        <f>'Raw Data'!M10</f>
        <v>4890</v>
      </c>
      <c r="F73" t="s">
        <v>131</v>
      </c>
    </row>
    <row r="74" spans="2:6" x14ac:dyDescent="0.35">
      <c r="B74">
        <v>2024</v>
      </c>
      <c r="C74" t="s">
        <v>123</v>
      </c>
      <c r="D74" t="s">
        <v>54</v>
      </c>
      <c r="E74" s="1">
        <f>'Raw Data'!M11</f>
        <v>5257</v>
      </c>
      <c r="F74" t="s">
        <v>131</v>
      </c>
    </row>
    <row r="75" spans="2:6" x14ac:dyDescent="0.35">
      <c r="B75">
        <v>2024</v>
      </c>
      <c r="C75" t="s">
        <v>123</v>
      </c>
      <c r="D75" t="s">
        <v>15</v>
      </c>
      <c r="E75" s="15">
        <f>'Raw Data'!M12</f>
        <v>0.37901946647440521</v>
      </c>
      <c r="F75" t="s">
        <v>131</v>
      </c>
    </row>
    <row r="76" spans="2:6" x14ac:dyDescent="0.35">
      <c r="B76">
        <v>2024</v>
      </c>
      <c r="C76" t="s">
        <v>123</v>
      </c>
      <c r="D76" t="s">
        <v>24</v>
      </c>
      <c r="E76" s="15">
        <f>'P&amp;L Model'!M17</f>
        <v>0.3728723747980614</v>
      </c>
      <c r="F76" t="s">
        <v>131</v>
      </c>
    </row>
    <row r="77" spans="2:6" x14ac:dyDescent="0.35">
      <c r="B77">
        <v>2025</v>
      </c>
      <c r="C77" t="s">
        <v>132</v>
      </c>
      <c r="D77" t="s">
        <v>81</v>
      </c>
      <c r="E77">
        <f>'Scenario Output '!C4</f>
        <v>14372.518761531122</v>
      </c>
      <c r="F77" s="71" t="s">
        <v>61</v>
      </c>
    </row>
    <row r="78" spans="2:6" x14ac:dyDescent="0.35">
      <c r="B78">
        <v>2025</v>
      </c>
      <c r="C78" t="s">
        <v>130</v>
      </c>
      <c r="D78" t="s">
        <v>81</v>
      </c>
      <c r="E78">
        <f>'Scenario Output '!D4</f>
        <v>16632</v>
      </c>
      <c r="F78" s="71" t="s">
        <v>62</v>
      </c>
    </row>
    <row r="79" spans="2:6" x14ac:dyDescent="0.35">
      <c r="B79">
        <v>2025</v>
      </c>
      <c r="C79" t="s">
        <v>130</v>
      </c>
      <c r="D79" t="s">
        <v>81</v>
      </c>
      <c r="E79">
        <f>'Scenario Output '!E4</f>
        <v>11352</v>
      </c>
      <c r="F79" s="71" t="s">
        <v>63</v>
      </c>
    </row>
    <row r="80" spans="2:6" x14ac:dyDescent="0.35">
      <c r="B80">
        <v>2025</v>
      </c>
      <c r="C80" t="s">
        <v>130</v>
      </c>
      <c r="D80" t="s">
        <v>82</v>
      </c>
      <c r="E80">
        <f>'Scenario Output '!C5</f>
        <v>15271.483831000636</v>
      </c>
      <c r="F80" s="71" t="s">
        <v>61</v>
      </c>
    </row>
    <row r="81" spans="2:6" x14ac:dyDescent="0.35">
      <c r="B81">
        <v>2025</v>
      </c>
      <c r="C81" t="s">
        <v>130</v>
      </c>
      <c r="D81" t="s">
        <v>82</v>
      </c>
      <c r="E81">
        <f>'Scenario Output '!D5</f>
        <v>16653.2</v>
      </c>
      <c r="F81" s="71" t="s">
        <v>62</v>
      </c>
    </row>
    <row r="82" spans="2:6" x14ac:dyDescent="0.35">
      <c r="B82">
        <v>2025</v>
      </c>
      <c r="C82" t="s">
        <v>130</v>
      </c>
      <c r="D82" t="s">
        <v>82</v>
      </c>
      <c r="E82">
        <f>'Scenario Output '!E5</f>
        <v>14235.8</v>
      </c>
      <c r="F82" s="71" t="s">
        <v>63</v>
      </c>
    </row>
    <row r="83" spans="2:6" x14ac:dyDescent="0.35">
      <c r="B83">
        <v>2025</v>
      </c>
      <c r="C83" t="s">
        <v>130</v>
      </c>
      <c r="D83" t="s">
        <v>118</v>
      </c>
      <c r="E83">
        <f>'Scenario Output '!C6</f>
        <v>29644.00259253176</v>
      </c>
      <c r="F83" s="71" t="s">
        <v>61</v>
      </c>
    </row>
    <row r="84" spans="2:6" x14ac:dyDescent="0.35">
      <c r="B84">
        <v>2025</v>
      </c>
      <c r="C84" t="s">
        <v>130</v>
      </c>
      <c r="D84" t="s">
        <v>118</v>
      </c>
      <c r="E84">
        <f>'Scenario Output '!D6</f>
        <v>33285.199999999997</v>
      </c>
      <c r="F84" s="71" t="s">
        <v>62</v>
      </c>
    </row>
    <row r="85" spans="2:6" x14ac:dyDescent="0.35">
      <c r="B85">
        <v>2025</v>
      </c>
      <c r="C85" t="s">
        <v>130</v>
      </c>
      <c r="D85" t="s">
        <v>118</v>
      </c>
      <c r="E85">
        <f>'Scenario Output '!E6</f>
        <v>25587.8</v>
      </c>
      <c r="F85" s="71" t="s">
        <v>63</v>
      </c>
    </row>
    <row r="86" spans="2:6" x14ac:dyDescent="0.35">
      <c r="B86">
        <v>2025</v>
      </c>
      <c r="C86" t="s">
        <v>130</v>
      </c>
      <c r="D86" t="s">
        <v>22</v>
      </c>
      <c r="E86">
        <f>'Scenario Output '!C8</f>
        <v>10777.450325929252</v>
      </c>
      <c r="F86" s="71" t="s">
        <v>61</v>
      </c>
    </row>
    <row r="87" spans="2:6" x14ac:dyDescent="0.35">
      <c r="B87">
        <v>2025</v>
      </c>
      <c r="C87" t="s">
        <v>130</v>
      </c>
      <c r="D87" t="s">
        <v>22</v>
      </c>
      <c r="E87">
        <f>'Scenario Output '!D8</f>
        <v>9985.56</v>
      </c>
      <c r="F87" s="71" t="s">
        <v>62</v>
      </c>
    </row>
    <row r="88" spans="2:6" x14ac:dyDescent="0.35">
      <c r="B88">
        <v>2025</v>
      </c>
      <c r="C88" t="s">
        <v>130</v>
      </c>
      <c r="D88" t="s">
        <v>22</v>
      </c>
      <c r="E88">
        <f>'Scenario Output '!E8</f>
        <v>11514.51</v>
      </c>
      <c r="F88" s="71" t="s">
        <v>63</v>
      </c>
    </row>
    <row r="89" spans="2:6" x14ac:dyDescent="0.35">
      <c r="B89">
        <v>2025</v>
      </c>
      <c r="C89" t="s">
        <v>130</v>
      </c>
      <c r="D89" t="s">
        <v>23</v>
      </c>
      <c r="E89">
        <f>'Scenario Output '!C9</f>
        <v>11619.935668889739</v>
      </c>
      <c r="F89" s="71" t="s">
        <v>61</v>
      </c>
    </row>
    <row r="90" spans="2:6" x14ac:dyDescent="0.35">
      <c r="B90">
        <v>2025</v>
      </c>
      <c r="C90" t="s">
        <v>130</v>
      </c>
      <c r="D90" t="s">
        <v>23</v>
      </c>
      <c r="E90">
        <f>'Scenario Output '!D9</f>
        <v>10965.76</v>
      </c>
      <c r="F90" s="71" t="s">
        <v>62</v>
      </c>
    </row>
    <row r="91" spans="2:6" x14ac:dyDescent="0.35">
      <c r="B91">
        <v>2025</v>
      </c>
      <c r="C91" t="s">
        <v>130</v>
      </c>
      <c r="D91" t="s">
        <v>23</v>
      </c>
      <c r="E91">
        <f>'Scenario Output '!E9</f>
        <v>12125.6</v>
      </c>
      <c r="F91" s="71" t="s">
        <v>63</v>
      </c>
    </row>
    <row r="92" spans="2:6" x14ac:dyDescent="0.35">
      <c r="B92">
        <v>2025</v>
      </c>
      <c r="C92" t="s">
        <v>130</v>
      </c>
      <c r="D92" t="s">
        <v>119</v>
      </c>
      <c r="E92">
        <f>'Scenario Output '!C10</f>
        <v>22397.385994818993</v>
      </c>
      <c r="F92" s="71" t="s">
        <v>61</v>
      </c>
    </row>
    <row r="93" spans="2:6" x14ac:dyDescent="0.35">
      <c r="B93">
        <v>2025</v>
      </c>
      <c r="C93" t="s">
        <v>130</v>
      </c>
      <c r="D93" t="s">
        <v>119</v>
      </c>
      <c r="E93">
        <f>'Scenario Output '!D10</f>
        <v>20951.32</v>
      </c>
      <c r="F93" s="71" t="s">
        <v>62</v>
      </c>
    </row>
    <row r="94" spans="2:6" x14ac:dyDescent="0.35">
      <c r="B94">
        <v>2025</v>
      </c>
      <c r="C94" t="s">
        <v>130</v>
      </c>
      <c r="D94" t="s">
        <v>119</v>
      </c>
      <c r="E94">
        <f>'Scenario Output '!E10</f>
        <v>23640.11</v>
      </c>
      <c r="F94" s="71" t="s">
        <v>63</v>
      </c>
    </row>
    <row r="95" spans="2:6" x14ac:dyDescent="0.35">
      <c r="B95">
        <v>2025</v>
      </c>
      <c r="C95" t="s">
        <v>130</v>
      </c>
      <c r="D95" t="s">
        <v>54</v>
      </c>
      <c r="E95">
        <f>'Scenario Output '!C12</f>
        <v>7246.6165977127675</v>
      </c>
      <c r="F95" s="71" t="s">
        <v>61</v>
      </c>
    </row>
    <row r="96" spans="2:6" x14ac:dyDescent="0.35">
      <c r="B96">
        <v>2025</v>
      </c>
      <c r="C96" t="s">
        <v>130</v>
      </c>
      <c r="D96" t="s">
        <v>54</v>
      </c>
      <c r="E96">
        <f>'Scenario Output '!D12</f>
        <v>12333.879999999997</v>
      </c>
      <c r="F96" s="71" t="s">
        <v>62</v>
      </c>
    </row>
    <row r="97" spans="2:6" x14ac:dyDescent="0.35">
      <c r="B97">
        <v>2025</v>
      </c>
      <c r="C97" t="s">
        <v>130</v>
      </c>
      <c r="D97" t="s">
        <v>54</v>
      </c>
      <c r="E97">
        <f>'Scenario Output '!E12</f>
        <v>1947.6899999999987</v>
      </c>
      <c r="F97" s="71" t="s">
        <v>63</v>
      </c>
    </row>
    <row r="98" spans="2:6" x14ac:dyDescent="0.35">
      <c r="B98">
        <v>2025</v>
      </c>
      <c r="C98" t="s">
        <v>130</v>
      </c>
      <c r="D98" t="s">
        <v>15</v>
      </c>
      <c r="E98" s="15">
        <f>'Scenario Output '!C13</f>
        <v>0.24445472824032252</v>
      </c>
      <c r="F98" s="71" t="s">
        <v>61</v>
      </c>
    </row>
    <row r="99" spans="2:6" x14ac:dyDescent="0.35">
      <c r="B99">
        <v>2025</v>
      </c>
      <c r="C99" t="s">
        <v>130</v>
      </c>
      <c r="D99" t="s">
        <v>15</v>
      </c>
      <c r="E99" s="15">
        <f>'Scenario Output '!D13</f>
        <v>0.37055147633182312</v>
      </c>
      <c r="F99" s="71" t="s">
        <v>62</v>
      </c>
    </row>
    <row r="100" spans="2:6" x14ac:dyDescent="0.35">
      <c r="B100">
        <v>2025</v>
      </c>
      <c r="C100" t="s">
        <v>130</v>
      </c>
      <c r="D100" t="s">
        <v>15</v>
      </c>
      <c r="E100" s="15">
        <f>'Scenario Output '!E13</f>
        <v>7.611791556913837E-2</v>
      </c>
      <c r="F100" s="71" t="s">
        <v>63</v>
      </c>
    </row>
    <row r="101" spans="2:6" x14ac:dyDescent="0.35">
      <c r="B101">
        <v>2025</v>
      </c>
      <c r="C101" t="s">
        <v>130</v>
      </c>
      <c r="D101" t="s">
        <v>24</v>
      </c>
      <c r="E101" s="15">
        <f>'Assumptions Page 2'!H9</f>
        <v>0.36356258883354792</v>
      </c>
      <c r="F101" s="71" t="s">
        <v>61</v>
      </c>
    </row>
    <row r="102" spans="2:6" x14ac:dyDescent="0.35">
      <c r="B102">
        <v>2025</v>
      </c>
      <c r="C102" t="s">
        <v>130</v>
      </c>
      <c r="D102" t="s">
        <v>24</v>
      </c>
      <c r="E102" s="15">
        <f>'Assumptions Page 2'!I9</f>
        <v>0.3</v>
      </c>
      <c r="F102" s="71" t="s">
        <v>62</v>
      </c>
    </row>
    <row r="103" spans="2:6" x14ac:dyDescent="0.35">
      <c r="B103">
        <v>2025</v>
      </c>
      <c r="C103" t="s">
        <v>130</v>
      </c>
      <c r="D103" s="70" t="s">
        <v>24</v>
      </c>
      <c r="E103" s="72">
        <f>'Assumptions Page 2'!J9</f>
        <v>0.45</v>
      </c>
      <c r="F103" s="73" t="s">
        <v>63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86A356-D8BF-46FC-BB33-BFD7003E1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P&amp;L Model</vt:lpstr>
      <vt:lpstr>Variance Analysis</vt:lpstr>
      <vt:lpstr>Assumptions Page 1</vt:lpstr>
      <vt:lpstr>Assumptions Page 2</vt:lpstr>
      <vt:lpstr>Revenue Build</vt:lpstr>
      <vt:lpstr>Expense Build</vt:lpstr>
      <vt:lpstr>Scenario Output </vt:lpstr>
      <vt:lpstr>PBI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9061396903abhi@gmail.com</dc:creator>
  <cp:lastModifiedBy>9061396903abhi@gmail.com</cp:lastModifiedBy>
  <dcterms:created xsi:type="dcterms:W3CDTF">2026-06-02T06:34:26Z</dcterms:created>
  <dcterms:modified xsi:type="dcterms:W3CDTF">2026-06-07T14:17:11Z</dcterms:modified>
</cp:coreProperties>
</file>